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AN-DEV\Desktop\"/>
    </mc:Choice>
  </mc:AlternateContent>
  <xr:revisionPtr revIDLastSave="0" documentId="13_ncr:1_{F9025249-0E92-4494-98C7-7071EED62F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imulador" sheetId="1" r:id="rId1"/>
    <sheet name="Amortizacion" sheetId="2" r:id="rId2"/>
    <sheet name="Resultad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5" i="1"/>
  <c r="K13" i="2"/>
  <c r="K9" i="2"/>
  <c r="C7" i="1" l="1"/>
  <c r="C11" i="1"/>
  <c r="C3" i="1"/>
  <c r="B1" i="3"/>
  <c r="C4" i="2" l="1"/>
  <c r="B2" i="2"/>
  <c r="D2" i="2" s="1"/>
  <c r="C294" i="2"/>
  <c r="C278" i="2"/>
  <c r="C270" i="2"/>
  <c r="C319" i="2"/>
  <c r="C311" i="2"/>
  <c r="C303" i="2"/>
  <c r="C360" i="2"/>
  <c r="C352" i="2"/>
  <c r="C344" i="2"/>
  <c r="C304" i="2"/>
  <c r="C288" i="2"/>
  <c r="C280" i="2"/>
  <c r="C272" i="2"/>
  <c r="C264" i="2"/>
  <c r="C354" i="2"/>
  <c r="C346" i="2"/>
  <c r="C338" i="2"/>
  <c r="C330" i="2"/>
  <c r="C322" i="2"/>
  <c r="C314" i="2"/>
  <c r="C306" i="2"/>
  <c r="C290" i="2"/>
  <c r="C282" i="2"/>
  <c r="C274" i="2"/>
  <c r="C266" i="2"/>
  <c r="C258" i="2"/>
  <c r="C250" i="2"/>
  <c r="C355" i="2"/>
  <c r="C339" i="2"/>
  <c r="C331" i="2"/>
  <c r="C323" i="2"/>
  <c r="C315" i="2"/>
  <c r="C307" i="2"/>
  <c r="C299" i="2"/>
  <c r="C291" i="2"/>
  <c r="C283" i="2"/>
  <c r="C275" i="2"/>
  <c r="C267" i="2"/>
  <c r="C259" i="2"/>
  <c r="C251" i="2"/>
  <c r="C340" i="2"/>
  <c r="C333" i="2"/>
  <c r="C308" i="2"/>
  <c r="C301" i="2"/>
  <c r="C276" i="2"/>
  <c r="C269" i="2"/>
  <c r="C245" i="2"/>
  <c r="C237" i="2"/>
  <c r="C229" i="2"/>
  <c r="C221" i="2"/>
  <c r="C213" i="2"/>
  <c r="C205" i="2"/>
  <c r="C197" i="2"/>
  <c r="C189" i="2"/>
  <c r="C181" i="2"/>
  <c r="C345" i="2"/>
  <c r="C313" i="2"/>
  <c r="C281" i="2"/>
  <c r="C246" i="2"/>
  <c r="C238" i="2"/>
  <c r="C230" i="2"/>
  <c r="C222" i="2"/>
  <c r="C214" i="2"/>
  <c r="C206" i="2"/>
  <c r="C198" i="2"/>
  <c r="C190" i="2"/>
  <c r="C182" i="2"/>
  <c r="C174" i="2"/>
  <c r="C357" i="2"/>
  <c r="C332" i="2"/>
  <c r="C325" i="2"/>
  <c r="C300" i="2"/>
  <c r="C293" i="2"/>
  <c r="C268" i="2"/>
  <c r="C261" i="2"/>
  <c r="C247" i="2"/>
  <c r="C239" i="2"/>
  <c r="C231" i="2"/>
  <c r="C223" i="2"/>
  <c r="C215" i="2"/>
  <c r="C207" i="2"/>
  <c r="C199" i="2"/>
  <c r="C191" i="2"/>
  <c r="C183" i="2"/>
  <c r="C337" i="2"/>
  <c r="C305" i="2"/>
  <c r="C273" i="2"/>
  <c r="C248" i="2"/>
  <c r="C240" i="2"/>
  <c r="C232" i="2"/>
  <c r="C224" i="2"/>
  <c r="C216" i="2"/>
  <c r="C208" i="2"/>
  <c r="C200" i="2"/>
  <c r="C192" i="2"/>
  <c r="C184" i="2"/>
  <c r="C356" i="2"/>
  <c r="C349" i="2"/>
  <c r="C324" i="2"/>
  <c r="C317" i="2"/>
  <c r="C292" i="2"/>
  <c r="C285" i="2"/>
  <c r="C260" i="2"/>
  <c r="C253" i="2"/>
  <c r="C249" i="2"/>
  <c r="C241" i="2"/>
  <c r="C233" i="2"/>
  <c r="C225" i="2"/>
  <c r="C217" i="2"/>
  <c r="C209" i="2"/>
  <c r="C201" i="2"/>
  <c r="C193" i="2"/>
  <c r="C185" i="2"/>
  <c r="C177" i="2"/>
  <c r="C348" i="2"/>
  <c r="C341" i="2"/>
  <c r="C316" i="2"/>
  <c r="C309" i="2"/>
  <c r="C284" i="2"/>
  <c r="C277" i="2"/>
  <c r="C252" i="2"/>
  <c r="C243" i="2"/>
  <c r="C235" i="2"/>
  <c r="C227" i="2"/>
  <c r="C219" i="2"/>
  <c r="C211" i="2"/>
  <c r="C203" i="2"/>
  <c r="C195" i="2"/>
  <c r="C187" i="2"/>
  <c r="C179" i="2"/>
  <c r="C353" i="2"/>
  <c r="C289" i="2"/>
  <c r="C170" i="2"/>
  <c r="C162" i="2"/>
  <c r="C154" i="2"/>
  <c r="C146" i="2"/>
  <c r="C138" i="2"/>
  <c r="C130" i="2"/>
  <c r="C122" i="2"/>
  <c r="C114" i="2"/>
  <c r="C106" i="2"/>
  <c r="C180" i="2"/>
  <c r="C175" i="2"/>
  <c r="C171" i="2"/>
  <c r="C163" i="2"/>
  <c r="C155" i="2"/>
  <c r="C147" i="2"/>
  <c r="C139" i="2"/>
  <c r="C131" i="2"/>
  <c r="C123" i="2"/>
  <c r="C115" i="2"/>
  <c r="C107" i="2"/>
  <c r="C361" i="2"/>
  <c r="C297" i="2"/>
  <c r="C236" i="2"/>
  <c r="C220" i="2"/>
  <c r="C204" i="2"/>
  <c r="C188" i="2"/>
  <c r="C172" i="2"/>
  <c r="C164" i="2"/>
  <c r="C156" i="2"/>
  <c r="C148" i="2"/>
  <c r="C140" i="2"/>
  <c r="C132" i="2"/>
  <c r="C124" i="2"/>
  <c r="C116" i="2"/>
  <c r="C108" i="2"/>
  <c r="C100" i="2"/>
  <c r="C242" i="2"/>
  <c r="C226" i="2"/>
  <c r="C210" i="2"/>
  <c r="C194" i="2"/>
  <c r="C173" i="2"/>
  <c r="C165" i="2"/>
  <c r="C157" i="2"/>
  <c r="C149" i="2"/>
  <c r="C141" i="2"/>
  <c r="C133" i="2"/>
  <c r="C125" i="2"/>
  <c r="C117" i="2"/>
  <c r="C109" i="2"/>
  <c r="C321" i="2"/>
  <c r="C257" i="2"/>
  <c r="C166" i="2"/>
  <c r="C158" i="2"/>
  <c r="C150" i="2"/>
  <c r="C142" i="2"/>
  <c r="C134" i="2"/>
  <c r="C126" i="2"/>
  <c r="C118" i="2"/>
  <c r="C110" i="2"/>
  <c r="C102" i="2"/>
  <c r="C329" i="2"/>
  <c r="C265" i="2"/>
  <c r="C244" i="2"/>
  <c r="C228" i="2"/>
  <c r="C212" i="2"/>
  <c r="C196" i="2"/>
  <c r="C176" i="2"/>
  <c r="C168" i="2"/>
  <c r="C160" i="2"/>
  <c r="C152" i="2"/>
  <c r="C144" i="2"/>
  <c r="C136" i="2"/>
  <c r="C128" i="2"/>
  <c r="C120" i="2"/>
  <c r="C112" i="2"/>
  <c r="C104" i="2"/>
  <c r="C96" i="2"/>
  <c r="C161" i="2"/>
  <c r="C145" i="2"/>
  <c r="C129" i="2"/>
  <c r="C113" i="2"/>
  <c r="C101" i="2"/>
  <c r="C88" i="2"/>
  <c r="C80" i="2"/>
  <c r="C72" i="2"/>
  <c r="C64" i="2"/>
  <c r="C56" i="2"/>
  <c r="C48" i="2"/>
  <c r="C40" i="2"/>
  <c r="C32" i="2"/>
  <c r="C24" i="2"/>
  <c r="C16" i="2"/>
  <c r="C167" i="2"/>
  <c r="C151" i="2"/>
  <c r="C135" i="2"/>
  <c r="C119" i="2"/>
  <c r="C103" i="2"/>
  <c r="C89" i="2"/>
  <c r="C81" i="2"/>
  <c r="C73" i="2"/>
  <c r="C65" i="2"/>
  <c r="C57" i="2"/>
  <c r="C49" i="2"/>
  <c r="C41" i="2"/>
  <c r="C33" i="2"/>
  <c r="C25" i="2"/>
  <c r="C17" i="2"/>
  <c r="C178" i="2"/>
  <c r="C99" i="2"/>
  <c r="C90" i="2"/>
  <c r="C82" i="2"/>
  <c r="C74" i="2"/>
  <c r="C66" i="2"/>
  <c r="C58" i="2"/>
  <c r="C50" i="2"/>
  <c r="C42" i="2"/>
  <c r="C34" i="2"/>
  <c r="C26" i="2"/>
  <c r="C18" i="2"/>
  <c r="C97" i="2"/>
  <c r="C91" i="2"/>
  <c r="C83" i="2"/>
  <c r="C75" i="2"/>
  <c r="C67" i="2"/>
  <c r="C59" i="2"/>
  <c r="C51" i="2"/>
  <c r="C43" i="2"/>
  <c r="C35" i="2"/>
  <c r="C27" i="2"/>
  <c r="C19" i="2"/>
  <c r="C11" i="2"/>
  <c r="C169" i="2"/>
  <c r="C153" i="2"/>
  <c r="C137" i="2"/>
  <c r="C121" i="2"/>
  <c r="C105" i="2"/>
  <c r="C92" i="2"/>
  <c r="C84" i="2"/>
  <c r="C76" i="2"/>
  <c r="C68" i="2"/>
  <c r="C60" i="2"/>
  <c r="C52" i="2"/>
  <c r="C44" i="2"/>
  <c r="C36" i="2"/>
  <c r="C28" i="2"/>
  <c r="C20" i="2"/>
  <c r="C12" i="2"/>
  <c r="C234" i="2"/>
  <c r="C218" i="2"/>
  <c r="C202" i="2"/>
  <c r="C186" i="2"/>
  <c r="C98" i="2"/>
  <c r="C94" i="2"/>
  <c r="C86" i="2"/>
  <c r="C78" i="2"/>
  <c r="C70" i="2"/>
  <c r="C62" i="2"/>
  <c r="C54" i="2"/>
  <c r="C46" i="2"/>
  <c r="C38" i="2"/>
  <c r="C30" i="2"/>
  <c r="C22" i="2"/>
  <c r="C14" i="2"/>
  <c r="C69" i="2"/>
  <c r="C2" i="2"/>
  <c r="C10" i="2"/>
  <c r="C15" i="2"/>
  <c r="C31" i="2"/>
  <c r="C47" i="2"/>
  <c r="C63" i="2"/>
  <c r="C79" i="2"/>
  <c r="C95" i="2"/>
  <c r="C5" i="2"/>
  <c r="C3" i="2"/>
  <c r="C37" i="2"/>
  <c r="C9" i="2"/>
  <c r="C53" i="2"/>
  <c r="C85" i="2"/>
  <c r="C8" i="2"/>
  <c r="C21" i="2"/>
  <c r="C7" i="2"/>
  <c r="C13" i="2"/>
  <c r="C29" i="2"/>
  <c r="C45" i="2"/>
  <c r="C61" i="2"/>
  <c r="C77" i="2"/>
  <c r="C93" i="2"/>
  <c r="C111" i="2"/>
  <c r="C127" i="2"/>
  <c r="C143" i="2"/>
  <c r="C159" i="2"/>
  <c r="B9" i="3"/>
  <c r="B8" i="3"/>
  <c r="B7" i="3"/>
  <c r="C6" i="2"/>
  <c r="C23" i="2"/>
  <c r="C39" i="2"/>
  <c r="C55" i="2"/>
  <c r="C71" i="2"/>
  <c r="C87" i="2"/>
  <c r="L9" i="2" l="1"/>
  <c r="K8" i="2"/>
  <c r="K10" i="2" s="1"/>
  <c r="E2" i="2"/>
  <c r="G2" i="2" s="1"/>
  <c r="H2" i="2" s="1"/>
  <c r="B3" i="2" s="1"/>
  <c r="C296" i="2"/>
  <c r="C255" i="2"/>
  <c r="C327" i="2"/>
  <c r="C318" i="2"/>
  <c r="C263" i="2"/>
  <c r="C343" i="2"/>
  <c r="C326" i="2"/>
  <c r="C312" i="2"/>
  <c r="C279" i="2"/>
  <c r="C359" i="2"/>
  <c r="C334" i="2"/>
  <c r="C328" i="2"/>
  <c r="C287" i="2"/>
  <c r="C254" i="2"/>
  <c r="C342" i="2"/>
  <c r="C336" i="2"/>
  <c r="C295" i="2"/>
  <c r="C262" i="2"/>
  <c r="C347" i="2"/>
  <c r="C298" i="2"/>
  <c r="C256" i="2"/>
  <c r="C320" i="2"/>
  <c r="C271" i="2"/>
  <c r="C335" i="2"/>
  <c r="C286" i="2"/>
  <c r="C350" i="2"/>
  <c r="C358" i="2"/>
  <c r="C351" i="2"/>
  <c r="C302" i="2"/>
  <c r="C310" i="2"/>
  <c r="D3" i="2" l="1"/>
  <c r="E3" i="2" s="1"/>
  <c r="G3" i="2" s="1"/>
  <c r="H3" i="2" s="1"/>
  <c r="B4" i="2" s="1"/>
  <c r="D4" i="2" l="1"/>
  <c r="E4" i="2" s="1"/>
  <c r="G4" i="2" s="1"/>
  <c r="H4" i="2" s="1"/>
  <c r="B5" i="2" s="1"/>
  <c r="D5" i="2" l="1"/>
  <c r="E5" i="2" s="1"/>
  <c r="G5" i="2" s="1"/>
  <c r="H5" i="2" s="1"/>
  <c r="B6" i="2" s="1"/>
  <c r="D6" i="2" l="1"/>
  <c r="E6" i="2" s="1"/>
  <c r="G6" i="2" s="1"/>
  <c r="H6" i="2" s="1"/>
  <c r="B7" i="2" s="1"/>
  <c r="D7" i="2" s="1"/>
  <c r="E7" i="2" l="1"/>
  <c r="G7" i="2" s="1"/>
  <c r="H7" i="2" s="1"/>
  <c r="B8" i="2" s="1"/>
  <c r="D8" i="2" l="1"/>
  <c r="E8" i="2" s="1"/>
  <c r="G8" i="2" s="1"/>
  <c r="H8" i="2" s="1"/>
  <c r="B9" i="2" s="1"/>
  <c r="D9" i="2" l="1"/>
  <c r="E9" i="2" s="1"/>
  <c r="G9" i="2" s="1"/>
  <c r="H9" i="2" s="1"/>
  <c r="B10" i="2" s="1"/>
  <c r="D10" i="2" l="1"/>
  <c r="E10" i="2" s="1"/>
  <c r="G10" i="2" s="1"/>
  <c r="H10" i="2" s="1"/>
  <c r="B11" i="2" s="1"/>
  <c r="D11" i="2" l="1"/>
  <c r="E11" i="2" s="1"/>
  <c r="G11" i="2" s="1"/>
  <c r="H11" i="2" s="1"/>
  <c r="B12" i="2" s="1"/>
  <c r="D12" i="2" l="1"/>
  <c r="E12" i="2" s="1"/>
  <c r="G12" i="2" s="1"/>
  <c r="H12" i="2" s="1"/>
  <c r="B13" i="2" s="1"/>
  <c r="D13" i="2" l="1"/>
  <c r="E13" i="2" s="1"/>
  <c r="G13" i="2" s="1"/>
  <c r="H13" i="2" s="1"/>
  <c r="B14" i="2" s="1"/>
  <c r="D14" i="2" l="1"/>
  <c r="E14" i="2" s="1"/>
  <c r="G14" i="2" s="1"/>
  <c r="H14" i="2" s="1"/>
  <c r="B15" i="2" l="1"/>
  <c r="D15" i="2" s="1"/>
  <c r="E15" i="2" s="1"/>
  <c r="G15" i="2" s="1"/>
  <c r="H15" i="2" s="1"/>
  <c r="B16" i="2" s="1"/>
  <c r="D16" i="2" l="1"/>
  <c r="E16" i="2" s="1"/>
  <c r="G16" i="2" s="1"/>
  <c r="H16" i="2" s="1"/>
  <c r="B17" i="2" l="1"/>
  <c r="D17" i="2" s="1"/>
  <c r="E17" i="2" s="1"/>
  <c r="G17" i="2" s="1"/>
  <c r="H17" i="2" s="1"/>
  <c r="B18" i="2" s="1"/>
  <c r="D18" i="2" l="1"/>
  <c r="E18" i="2" s="1"/>
  <c r="G18" i="2" s="1"/>
  <c r="H18" i="2" s="1"/>
  <c r="B19" i="2" l="1"/>
  <c r="D19" i="2" s="1"/>
  <c r="E19" i="2" s="1"/>
  <c r="G19" i="2" s="1"/>
  <c r="H19" i="2" s="1"/>
  <c r="B20" i="2" s="1"/>
  <c r="D20" i="2" l="1"/>
  <c r="E20" i="2" s="1"/>
  <c r="G20" i="2" s="1"/>
  <c r="H20" i="2" s="1"/>
  <c r="B21" i="2" s="1"/>
  <c r="D21" i="2" l="1"/>
  <c r="E21" i="2" s="1"/>
  <c r="G21" i="2" s="1"/>
  <c r="H21" i="2" s="1"/>
  <c r="B22" i="2" l="1"/>
  <c r="D22" i="2" s="1"/>
  <c r="E22" i="2" s="1"/>
  <c r="G22" i="2" s="1"/>
  <c r="H22" i="2" s="1"/>
  <c r="B23" i="2" s="1"/>
  <c r="D23" i="2" l="1"/>
  <c r="E23" i="2" s="1"/>
  <c r="G23" i="2" s="1"/>
  <c r="H23" i="2" s="1"/>
  <c r="B24" i="2" s="1"/>
  <c r="D24" i="2" l="1"/>
  <c r="E24" i="2" s="1"/>
  <c r="G24" i="2" s="1"/>
  <c r="H24" i="2" s="1"/>
  <c r="B25" i="2" s="1"/>
  <c r="D25" i="2" l="1"/>
  <c r="E25" i="2" s="1"/>
  <c r="G25" i="2" s="1"/>
  <c r="H25" i="2" s="1"/>
  <c r="B26" i="2" s="1"/>
  <c r="D26" i="2" l="1"/>
  <c r="E26" i="2" s="1"/>
  <c r="G26" i="2" s="1"/>
  <c r="H26" i="2" s="1"/>
  <c r="B27" i="2" s="1"/>
  <c r="D27" i="2" l="1"/>
  <c r="E27" i="2" s="1"/>
  <c r="G27" i="2" s="1"/>
  <c r="H27" i="2" s="1"/>
  <c r="B28" i="2" s="1"/>
  <c r="D28" i="2" l="1"/>
  <c r="E28" i="2" s="1"/>
  <c r="G28" i="2" s="1"/>
  <c r="H28" i="2" s="1"/>
  <c r="B29" i="2" s="1"/>
  <c r="D29" i="2" l="1"/>
  <c r="E29" i="2" s="1"/>
  <c r="G29" i="2" s="1"/>
  <c r="H29" i="2" s="1"/>
  <c r="B30" i="2" s="1"/>
  <c r="D30" i="2" l="1"/>
  <c r="E30" i="2" s="1"/>
  <c r="G30" i="2" s="1"/>
  <c r="H30" i="2" s="1"/>
  <c r="B31" i="2" s="1"/>
  <c r="D31" i="2" l="1"/>
  <c r="E31" i="2" s="1"/>
  <c r="G31" i="2" s="1"/>
  <c r="H31" i="2" s="1"/>
  <c r="B32" i="2" s="1"/>
  <c r="D32" i="2" l="1"/>
  <c r="E32" i="2" s="1"/>
  <c r="G32" i="2" s="1"/>
  <c r="H32" i="2" s="1"/>
  <c r="B33" i="2" s="1"/>
  <c r="D33" i="2" l="1"/>
  <c r="E33" i="2" s="1"/>
  <c r="G33" i="2" s="1"/>
  <c r="H33" i="2" s="1"/>
  <c r="B34" i="2" s="1"/>
  <c r="D34" i="2" l="1"/>
  <c r="E34" i="2" s="1"/>
  <c r="G34" i="2" s="1"/>
  <c r="H34" i="2" s="1"/>
  <c r="B35" i="2" s="1"/>
  <c r="D35" i="2" l="1"/>
  <c r="E35" i="2" s="1"/>
  <c r="G35" i="2" s="1"/>
  <c r="H35" i="2" s="1"/>
  <c r="B36" i="2" s="1"/>
  <c r="D36" i="2" l="1"/>
  <c r="E36" i="2" s="1"/>
  <c r="G36" i="2" s="1"/>
  <c r="H36" i="2" s="1"/>
  <c r="B37" i="2" s="1"/>
  <c r="D37" i="2" l="1"/>
  <c r="E37" i="2" s="1"/>
  <c r="G37" i="2" s="1"/>
  <c r="H37" i="2" s="1"/>
  <c r="B38" i="2" s="1"/>
  <c r="D38" i="2" l="1"/>
  <c r="E38" i="2" s="1"/>
  <c r="G38" i="2" s="1"/>
  <c r="H38" i="2" s="1"/>
  <c r="B39" i="2" s="1"/>
  <c r="D39" i="2" l="1"/>
  <c r="E39" i="2" s="1"/>
  <c r="G39" i="2" s="1"/>
  <c r="H39" i="2" s="1"/>
  <c r="B40" i="2" s="1"/>
  <c r="D40" i="2" l="1"/>
  <c r="E40" i="2" s="1"/>
  <c r="G40" i="2" s="1"/>
  <c r="H40" i="2" s="1"/>
  <c r="B41" i="2" s="1"/>
  <c r="D41" i="2" l="1"/>
  <c r="E41" i="2" s="1"/>
  <c r="G41" i="2" s="1"/>
  <c r="H41" i="2" s="1"/>
  <c r="B42" i="2" s="1"/>
  <c r="D42" i="2" l="1"/>
  <c r="E42" i="2" s="1"/>
  <c r="G42" i="2" s="1"/>
  <c r="H42" i="2" s="1"/>
  <c r="B43" i="2" s="1"/>
  <c r="D43" i="2" l="1"/>
  <c r="E43" i="2" s="1"/>
  <c r="G43" i="2" s="1"/>
  <c r="H43" i="2" s="1"/>
  <c r="B44" i="2" s="1"/>
  <c r="D44" i="2" l="1"/>
  <c r="E44" i="2" s="1"/>
  <c r="G44" i="2" s="1"/>
  <c r="H44" i="2" s="1"/>
  <c r="B45" i="2" s="1"/>
  <c r="D45" i="2" l="1"/>
  <c r="E45" i="2" s="1"/>
  <c r="G45" i="2" s="1"/>
  <c r="H45" i="2" s="1"/>
  <c r="B46" i="2" s="1"/>
  <c r="D46" i="2" l="1"/>
  <c r="E46" i="2" s="1"/>
  <c r="G46" i="2" s="1"/>
  <c r="H46" i="2" s="1"/>
  <c r="B47" i="2" s="1"/>
  <c r="D47" i="2" l="1"/>
  <c r="E47" i="2" s="1"/>
  <c r="G47" i="2" s="1"/>
  <c r="H47" i="2" s="1"/>
  <c r="B48" i="2" s="1"/>
  <c r="D48" i="2" l="1"/>
  <c r="E48" i="2" s="1"/>
  <c r="G48" i="2" s="1"/>
  <c r="H48" i="2" s="1"/>
  <c r="B49" i="2" s="1"/>
  <c r="D49" i="2" l="1"/>
  <c r="E49" i="2" s="1"/>
  <c r="G49" i="2" s="1"/>
  <c r="H49" i="2" s="1"/>
  <c r="B50" i="2" s="1"/>
  <c r="D50" i="2" l="1"/>
  <c r="E50" i="2" s="1"/>
  <c r="G50" i="2" s="1"/>
  <c r="H50" i="2" s="1"/>
  <c r="B51" i="2" s="1"/>
  <c r="D51" i="2" l="1"/>
  <c r="E51" i="2" s="1"/>
  <c r="G51" i="2" s="1"/>
  <c r="H51" i="2" s="1"/>
  <c r="B52" i="2" s="1"/>
  <c r="D52" i="2" l="1"/>
  <c r="E52" i="2" s="1"/>
  <c r="G52" i="2" s="1"/>
  <c r="H52" i="2" s="1"/>
  <c r="B53" i="2" s="1"/>
  <c r="D53" i="2" l="1"/>
  <c r="E53" i="2" s="1"/>
  <c r="G53" i="2" s="1"/>
  <c r="H53" i="2" s="1"/>
  <c r="B54" i="2" s="1"/>
  <c r="D54" i="2" l="1"/>
  <c r="E54" i="2" s="1"/>
  <c r="G54" i="2" s="1"/>
  <c r="H54" i="2" s="1"/>
  <c r="B55" i="2" s="1"/>
  <c r="D55" i="2" l="1"/>
  <c r="E55" i="2" s="1"/>
  <c r="G55" i="2" s="1"/>
  <c r="H55" i="2" s="1"/>
  <c r="B56" i="2" s="1"/>
  <c r="D56" i="2" l="1"/>
  <c r="E56" i="2" s="1"/>
  <c r="G56" i="2" s="1"/>
  <c r="H56" i="2" s="1"/>
  <c r="B57" i="2" s="1"/>
  <c r="D57" i="2" l="1"/>
  <c r="E57" i="2" s="1"/>
  <c r="G57" i="2" s="1"/>
  <c r="H57" i="2" s="1"/>
  <c r="B58" i="2" s="1"/>
  <c r="D58" i="2" l="1"/>
  <c r="E58" i="2" s="1"/>
  <c r="G58" i="2" s="1"/>
  <c r="H58" i="2" s="1"/>
  <c r="B59" i="2" s="1"/>
  <c r="D59" i="2" l="1"/>
  <c r="E59" i="2" s="1"/>
  <c r="G59" i="2" s="1"/>
  <c r="H59" i="2" s="1"/>
  <c r="B60" i="2" s="1"/>
  <c r="D60" i="2" l="1"/>
  <c r="E60" i="2" s="1"/>
  <c r="G60" i="2" s="1"/>
  <c r="H60" i="2" s="1"/>
  <c r="B61" i="2" s="1"/>
  <c r="D61" i="2" l="1"/>
  <c r="E61" i="2" s="1"/>
  <c r="G61" i="2" s="1"/>
  <c r="H61" i="2" s="1"/>
  <c r="B62" i="2" s="1"/>
  <c r="D62" i="2" l="1"/>
  <c r="E62" i="2" s="1"/>
  <c r="G62" i="2" s="1"/>
  <c r="H62" i="2" s="1"/>
  <c r="B63" i="2" s="1"/>
  <c r="D63" i="2" l="1"/>
  <c r="E63" i="2" s="1"/>
  <c r="G63" i="2" s="1"/>
  <c r="H63" i="2" s="1"/>
  <c r="B64" i="2" s="1"/>
  <c r="D64" i="2" l="1"/>
  <c r="E64" i="2" s="1"/>
  <c r="G64" i="2" s="1"/>
  <c r="H64" i="2" s="1"/>
  <c r="B65" i="2" s="1"/>
  <c r="D65" i="2" l="1"/>
  <c r="E65" i="2" s="1"/>
  <c r="G65" i="2" s="1"/>
  <c r="H65" i="2" s="1"/>
  <c r="B66" i="2" s="1"/>
  <c r="D66" i="2" l="1"/>
  <c r="E66" i="2" s="1"/>
  <c r="G66" i="2" s="1"/>
  <c r="H66" i="2" s="1"/>
  <c r="B67" i="2" s="1"/>
  <c r="D67" i="2" l="1"/>
  <c r="E67" i="2" s="1"/>
  <c r="G67" i="2" s="1"/>
  <c r="H67" i="2" s="1"/>
  <c r="B68" i="2" s="1"/>
  <c r="D68" i="2" l="1"/>
  <c r="E68" i="2" s="1"/>
  <c r="G68" i="2" s="1"/>
  <c r="H68" i="2" s="1"/>
  <c r="B69" i="2" s="1"/>
  <c r="D69" i="2" l="1"/>
  <c r="E69" i="2" s="1"/>
  <c r="G69" i="2" s="1"/>
  <c r="H69" i="2" s="1"/>
  <c r="B70" i="2" s="1"/>
  <c r="D70" i="2" l="1"/>
  <c r="E70" i="2" s="1"/>
  <c r="G70" i="2" s="1"/>
  <c r="H70" i="2" s="1"/>
  <c r="B71" i="2" s="1"/>
  <c r="D71" i="2" l="1"/>
  <c r="E71" i="2" s="1"/>
  <c r="G71" i="2" s="1"/>
  <c r="H71" i="2" s="1"/>
  <c r="B72" i="2" s="1"/>
  <c r="D72" i="2" l="1"/>
  <c r="E72" i="2" s="1"/>
  <c r="G72" i="2" s="1"/>
  <c r="H72" i="2" s="1"/>
  <c r="B73" i="2" s="1"/>
  <c r="D73" i="2" l="1"/>
  <c r="E73" i="2" s="1"/>
  <c r="G73" i="2" s="1"/>
  <c r="H73" i="2" s="1"/>
  <c r="B74" i="2" s="1"/>
  <c r="D74" i="2" l="1"/>
  <c r="E74" i="2" s="1"/>
  <c r="G74" i="2" s="1"/>
  <c r="H74" i="2" s="1"/>
  <c r="B75" i="2" s="1"/>
  <c r="D75" i="2" l="1"/>
  <c r="E75" i="2" s="1"/>
  <c r="G75" i="2" s="1"/>
  <c r="H75" i="2" s="1"/>
  <c r="B76" i="2" s="1"/>
  <c r="D76" i="2" l="1"/>
  <c r="E76" i="2" s="1"/>
  <c r="G76" i="2" s="1"/>
  <c r="H76" i="2" s="1"/>
  <c r="B77" i="2" s="1"/>
  <c r="D77" i="2" l="1"/>
  <c r="E77" i="2" s="1"/>
  <c r="G77" i="2" s="1"/>
  <c r="H77" i="2" s="1"/>
  <c r="B78" i="2" s="1"/>
  <c r="D78" i="2" l="1"/>
  <c r="E78" i="2" s="1"/>
  <c r="G78" i="2" s="1"/>
  <c r="H78" i="2" s="1"/>
  <c r="B79" i="2" s="1"/>
  <c r="D79" i="2" l="1"/>
  <c r="E79" i="2" s="1"/>
  <c r="G79" i="2" s="1"/>
  <c r="H79" i="2" s="1"/>
  <c r="B80" i="2" s="1"/>
  <c r="D80" i="2" l="1"/>
  <c r="E80" i="2" s="1"/>
  <c r="G80" i="2" s="1"/>
  <c r="H80" i="2" s="1"/>
  <c r="B81" i="2" s="1"/>
  <c r="D81" i="2" l="1"/>
  <c r="E81" i="2" s="1"/>
  <c r="G81" i="2" s="1"/>
  <c r="H81" i="2" s="1"/>
  <c r="B82" i="2" s="1"/>
  <c r="D82" i="2" l="1"/>
  <c r="E82" i="2" s="1"/>
  <c r="G82" i="2" s="1"/>
  <c r="H82" i="2" s="1"/>
  <c r="B83" i="2" s="1"/>
  <c r="D83" i="2" l="1"/>
  <c r="E83" i="2" s="1"/>
  <c r="G83" i="2" s="1"/>
  <c r="H83" i="2" s="1"/>
  <c r="B84" i="2" s="1"/>
  <c r="D84" i="2" l="1"/>
  <c r="E84" i="2" s="1"/>
  <c r="G84" i="2" s="1"/>
  <c r="H84" i="2" s="1"/>
  <c r="B85" i="2" s="1"/>
  <c r="D85" i="2" l="1"/>
  <c r="E85" i="2" s="1"/>
  <c r="G85" i="2" s="1"/>
  <c r="H85" i="2" s="1"/>
  <c r="B86" i="2" s="1"/>
  <c r="D86" i="2" l="1"/>
  <c r="E86" i="2" s="1"/>
  <c r="G86" i="2" s="1"/>
  <c r="H86" i="2" s="1"/>
  <c r="B87" i="2" s="1"/>
  <c r="D87" i="2" l="1"/>
  <c r="E87" i="2" s="1"/>
  <c r="G87" i="2" s="1"/>
  <c r="H87" i="2" s="1"/>
  <c r="B88" i="2" s="1"/>
  <c r="D88" i="2" l="1"/>
  <c r="E88" i="2" s="1"/>
  <c r="G88" i="2" s="1"/>
  <c r="H88" i="2" s="1"/>
  <c r="B89" i="2" s="1"/>
  <c r="D89" i="2" l="1"/>
  <c r="E89" i="2" s="1"/>
  <c r="G89" i="2" s="1"/>
  <c r="H89" i="2" s="1"/>
  <c r="B90" i="2" s="1"/>
  <c r="D90" i="2" l="1"/>
  <c r="E90" i="2" s="1"/>
  <c r="G90" i="2" s="1"/>
  <c r="H90" i="2" s="1"/>
  <c r="B91" i="2" s="1"/>
  <c r="D91" i="2" l="1"/>
  <c r="E91" i="2" s="1"/>
  <c r="G91" i="2" s="1"/>
  <c r="H91" i="2" s="1"/>
  <c r="B92" i="2" s="1"/>
  <c r="D92" i="2" l="1"/>
  <c r="E92" i="2" s="1"/>
  <c r="G92" i="2" s="1"/>
  <c r="H92" i="2" s="1"/>
  <c r="B93" i="2" s="1"/>
  <c r="D93" i="2" l="1"/>
  <c r="E93" i="2" s="1"/>
  <c r="G93" i="2" s="1"/>
  <c r="H93" i="2" s="1"/>
  <c r="B94" i="2" s="1"/>
  <c r="D94" i="2" l="1"/>
  <c r="E94" i="2" s="1"/>
  <c r="G94" i="2" s="1"/>
  <c r="H94" i="2" s="1"/>
  <c r="B95" i="2" s="1"/>
  <c r="D95" i="2" l="1"/>
  <c r="E95" i="2" s="1"/>
  <c r="G95" i="2" s="1"/>
  <c r="H95" i="2" s="1"/>
  <c r="B96" i="2" s="1"/>
  <c r="D96" i="2" l="1"/>
  <c r="E96" i="2" s="1"/>
  <c r="G96" i="2" s="1"/>
  <c r="H96" i="2" s="1"/>
  <c r="B97" i="2" s="1"/>
  <c r="D97" i="2" l="1"/>
  <c r="E97" i="2" s="1"/>
  <c r="G97" i="2" s="1"/>
  <c r="H97" i="2" s="1"/>
  <c r="B98" i="2" s="1"/>
  <c r="D98" i="2" l="1"/>
  <c r="E98" i="2" s="1"/>
  <c r="G98" i="2" s="1"/>
  <c r="H98" i="2" s="1"/>
  <c r="B99" i="2" s="1"/>
  <c r="D99" i="2" l="1"/>
  <c r="E99" i="2" s="1"/>
  <c r="G99" i="2" s="1"/>
  <c r="H99" i="2" s="1"/>
  <c r="B100" i="2" s="1"/>
  <c r="D100" i="2" l="1"/>
  <c r="E100" i="2" s="1"/>
  <c r="G100" i="2" s="1"/>
  <c r="H100" i="2" s="1"/>
  <c r="B101" i="2" s="1"/>
  <c r="D101" i="2" l="1"/>
  <c r="E101" i="2" s="1"/>
  <c r="G101" i="2" s="1"/>
  <c r="H101" i="2" s="1"/>
  <c r="B102" i="2" s="1"/>
  <c r="D102" i="2" l="1"/>
  <c r="E102" i="2" s="1"/>
  <c r="G102" i="2" s="1"/>
  <c r="H102" i="2" s="1"/>
  <c r="B103" i="2" s="1"/>
  <c r="D103" i="2" l="1"/>
  <c r="E103" i="2" s="1"/>
  <c r="G103" i="2" s="1"/>
  <c r="H103" i="2" s="1"/>
  <c r="B104" i="2" s="1"/>
  <c r="D104" i="2" l="1"/>
  <c r="E104" i="2" s="1"/>
  <c r="G104" i="2" s="1"/>
  <c r="H104" i="2" s="1"/>
  <c r="B105" i="2" s="1"/>
  <c r="D105" i="2" l="1"/>
  <c r="E105" i="2" s="1"/>
  <c r="G105" i="2" s="1"/>
  <c r="H105" i="2" s="1"/>
  <c r="B106" i="2" s="1"/>
  <c r="D106" i="2" l="1"/>
  <c r="E106" i="2" s="1"/>
  <c r="G106" i="2" s="1"/>
  <c r="H106" i="2" s="1"/>
  <c r="B107" i="2" s="1"/>
  <c r="D107" i="2" l="1"/>
  <c r="E107" i="2" s="1"/>
  <c r="G107" i="2" s="1"/>
  <c r="H107" i="2" s="1"/>
  <c r="B108" i="2" s="1"/>
  <c r="D108" i="2" l="1"/>
  <c r="E108" i="2" s="1"/>
  <c r="G108" i="2" s="1"/>
  <c r="H108" i="2" s="1"/>
  <c r="B109" i="2" s="1"/>
  <c r="D109" i="2" l="1"/>
  <c r="E109" i="2" s="1"/>
  <c r="G109" i="2" s="1"/>
  <c r="H109" i="2" s="1"/>
  <c r="B110" i="2" s="1"/>
  <c r="D110" i="2" l="1"/>
  <c r="E110" i="2" s="1"/>
  <c r="G110" i="2" s="1"/>
  <c r="H110" i="2" s="1"/>
  <c r="B111" i="2" s="1"/>
  <c r="D111" i="2" l="1"/>
  <c r="E111" i="2" s="1"/>
  <c r="G111" i="2" s="1"/>
  <c r="H111" i="2" s="1"/>
  <c r="B112" i="2" s="1"/>
  <c r="D112" i="2" l="1"/>
  <c r="E112" i="2" s="1"/>
  <c r="G112" i="2" s="1"/>
  <c r="H112" i="2" s="1"/>
  <c r="B113" i="2" s="1"/>
  <c r="D113" i="2" l="1"/>
  <c r="E113" i="2" s="1"/>
  <c r="G113" i="2" s="1"/>
  <c r="H113" i="2" s="1"/>
  <c r="B114" i="2" s="1"/>
  <c r="D114" i="2" l="1"/>
  <c r="E114" i="2" s="1"/>
  <c r="G114" i="2" s="1"/>
  <c r="H114" i="2" s="1"/>
  <c r="B115" i="2" s="1"/>
  <c r="D115" i="2" l="1"/>
  <c r="E115" i="2" s="1"/>
  <c r="G115" i="2" s="1"/>
  <c r="H115" i="2" s="1"/>
  <c r="B116" i="2" s="1"/>
  <c r="D116" i="2" l="1"/>
  <c r="E116" i="2" s="1"/>
  <c r="G116" i="2" s="1"/>
  <c r="H116" i="2" s="1"/>
  <c r="B117" i="2" s="1"/>
  <c r="D117" i="2" l="1"/>
  <c r="E117" i="2" s="1"/>
  <c r="G117" i="2" s="1"/>
  <c r="H117" i="2" s="1"/>
  <c r="B118" i="2" s="1"/>
  <c r="D118" i="2" l="1"/>
  <c r="E118" i="2" s="1"/>
  <c r="G118" i="2" s="1"/>
  <c r="H118" i="2" s="1"/>
  <c r="B119" i="2" s="1"/>
  <c r="D119" i="2" l="1"/>
  <c r="E119" i="2" s="1"/>
  <c r="G119" i="2" s="1"/>
  <c r="H119" i="2" s="1"/>
  <c r="B120" i="2" s="1"/>
  <c r="D120" i="2" l="1"/>
  <c r="E120" i="2" s="1"/>
  <c r="G120" i="2" s="1"/>
  <c r="H120" i="2" s="1"/>
  <c r="B121" i="2" s="1"/>
  <c r="D121" i="2" l="1"/>
  <c r="E121" i="2" s="1"/>
  <c r="G121" i="2" s="1"/>
  <c r="H121" i="2" s="1"/>
  <c r="B122" i="2" s="1"/>
  <c r="D122" i="2" l="1"/>
  <c r="E122" i="2" s="1"/>
  <c r="G122" i="2" s="1"/>
  <c r="H122" i="2" s="1"/>
  <c r="B123" i="2" s="1"/>
  <c r="D123" i="2" l="1"/>
  <c r="E123" i="2" s="1"/>
  <c r="G123" i="2" s="1"/>
  <c r="H123" i="2" s="1"/>
  <c r="B124" i="2" s="1"/>
  <c r="D124" i="2" l="1"/>
  <c r="E124" i="2" s="1"/>
  <c r="G124" i="2" s="1"/>
  <c r="H124" i="2" s="1"/>
  <c r="B125" i="2" s="1"/>
  <c r="D125" i="2" l="1"/>
  <c r="E125" i="2" s="1"/>
  <c r="G125" i="2" s="1"/>
  <c r="H125" i="2" s="1"/>
  <c r="B126" i="2" s="1"/>
  <c r="D126" i="2" l="1"/>
  <c r="E126" i="2" s="1"/>
  <c r="G126" i="2" s="1"/>
  <c r="H126" i="2" s="1"/>
  <c r="B127" i="2" s="1"/>
  <c r="D127" i="2" l="1"/>
  <c r="E127" i="2" s="1"/>
  <c r="G127" i="2" s="1"/>
  <c r="H127" i="2" s="1"/>
  <c r="B128" i="2" s="1"/>
  <c r="D128" i="2" l="1"/>
  <c r="E128" i="2" s="1"/>
  <c r="G128" i="2" s="1"/>
  <c r="H128" i="2" s="1"/>
  <c r="B129" i="2" s="1"/>
  <c r="D129" i="2" l="1"/>
  <c r="E129" i="2" s="1"/>
  <c r="G129" i="2" s="1"/>
  <c r="H129" i="2" s="1"/>
  <c r="B130" i="2" s="1"/>
  <c r="D130" i="2" l="1"/>
  <c r="E130" i="2" s="1"/>
  <c r="G130" i="2" s="1"/>
  <c r="H130" i="2" s="1"/>
  <c r="B131" i="2" s="1"/>
  <c r="D131" i="2" l="1"/>
  <c r="E131" i="2" s="1"/>
  <c r="G131" i="2" s="1"/>
  <c r="H131" i="2" s="1"/>
  <c r="B132" i="2" s="1"/>
  <c r="D132" i="2" l="1"/>
  <c r="E132" i="2" s="1"/>
  <c r="G132" i="2" s="1"/>
  <c r="H132" i="2" s="1"/>
  <c r="B133" i="2" s="1"/>
  <c r="D133" i="2" l="1"/>
  <c r="E133" i="2" s="1"/>
  <c r="G133" i="2" s="1"/>
  <c r="H133" i="2" s="1"/>
  <c r="B134" i="2" s="1"/>
  <c r="D134" i="2" l="1"/>
  <c r="E134" i="2" s="1"/>
  <c r="G134" i="2" s="1"/>
  <c r="H134" i="2" s="1"/>
  <c r="B135" i="2" s="1"/>
  <c r="D135" i="2" l="1"/>
  <c r="E135" i="2" s="1"/>
  <c r="G135" i="2" s="1"/>
  <c r="H135" i="2" s="1"/>
  <c r="B136" i="2" s="1"/>
  <c r="D136" i="2" l="1"/>
  <c r="E136" i="2" s="1"/>
  <c r="G136" i="2" s="1"/>
  <c r="H136" i="2" s="1"/>
  <c r="B137" i="2" s="1"/>
  <c r="D137" i="2" l="1"/>
  <c r="E137" i="2" s="1"/>
  <c r="G137" i="2" s="1"/>
  <c r="H137" i="2" s="1"/>
  <c r="B138" i="2" s="1"/>
  <c r="D138" i="2" l="1"/>
  <c r="E138" i="2" s="1"/>
  <c r="G138" i="2" s="1"/>
  <c r="H138" i="2" s="1"/>
  <c r="B139" i="2" s="1"/>
  <c r="D139" i="2" l="1"/>
  <c r="E139" i="2" s="1"/>
  <c r="G139" i="2" s="1"/>
  <c r="H139" i="2" s="1"/>
  <c r="B140" i="2" s="1"/>
  <c r="D140" i="2" l="1"/>
  <c r="E140" i="2" s="1"/>
  <c r="G140" i="2" s="1"/>
  <c r="H140" i="2" s="1"/>
  <c r="B141" i="2" s="1"/>
  <c r="D141" i="2" l="1"/>
  <c r="E141" i="2" s="1"/>
  <c r="G141" i="2" s="1"/>
  <c r="H141" i="2" s="1"/>
  <c r="B142" i="2" s="1"/>
  <c r="D142" i="2" l="1"/>
  <c r="E142" i="2" s="1"/>
  <c r="G142" i="2" s="1"/>
  <c r="H142" i="2" s="1"/>
  <c r="B143" i="2" s="1"/>
  <c r="D143" i="2" l="1"/>
  <c r="E143" i="2" s="1"/>
  <c r="G143" i="2" s="1"/>
  <c r="H143" i="2" s="1"/>
  <c r="B144" i="2" s="1"/>
  <c r="D144" i="2" l="1"/>
  <c r="E144" i="2" s="1"/>
  <c r="G144" i="2" s="1"/>
  <c r="H144" i="2" s="1"/>
  <c r="B145" i="2" s="1"/>
  <c r="D145" i="2" l="1"/>
  <c r="E145" i="2" s="1"/>
  <c r="G145" i="2" s="1"/>
  <c r="H145" i="2" s="1"/>
  <c r="B146" i="2" s="1"/>
  <c r="D146" i="2" l="1"/>
  <c r="E146" i="2" s="1"/>
  <c r="G146" i="2" s="1"/>
  <c r="H146" i="2" s="1"/>
  <c r="B147" i="2" s="1"/>
  <c r="D147" i="2" l="1"/>
  <c r="E147" i="2" s="1"/>
  <c r="G147" i="2" s="1"/>
  <c r="H147" i="2" s="1"/>
  <c r="B148" i="2" s="1"/>
  <c r="D148" i="2" l="1"/>
  <c r="E148" i="2" s="1"/>
  <c r="G148" i="2" s="1"/>
  <c r="H148" i="2" s="1"/>
  <c r="B149" i="2" s="1"/>
  <c r="D149" i="2" l="1"/>
  <c r="E149" i="2" s="1"/>
  <c r="G149" i="2" s="1"/>
  <c r="H149" i="2" s="1"/>
  <c r="B150" i="2" s="1"/>
  <c r="D150" i="2" l="1"/>
  <c r="E150" i="2" s="1"/>
  <c r="G150" i="2" s="1"/>
  <c r="H150" i="2" s="1"/>
  <c r="B151" i="2" s="1"/>
  <c r="D151" i="2" l="1"/>
  <c r="E151" i="2" s="1"/>
  <c r="G151" i="2" s="1"/>
  <c r="H151" i="2" s="1"/>
  <c r="B152" i="2" s="1"/>
  <c r="D152" i="2" l="1"/>
  <c r="E152" i="2" s="1"/>
  <c r="G152" i="2" s="1"/>
  <c r="H152" i="2" s="1"/>
  <c r="B153" i="2" s="1"/>
  <c r="D153" i="2" l="1"/>
  <c r="E153" i="2" s="1"/>
  <c r="G153" i="2" s="1"/>
  <c r="H153" i="2" s="1"/>
  <c r="B154" i="2" s="1"/>
  <c r="D154" i="2" l="1"/>
  <c r="E154" i="2" s="1"/>
  <c r="G154" i="2" s="1"/>
  <c r="H154" i="2" s="1"/>
  <c r="B155" i="2" s="1"/>
  <c r="D155" i="2" l="1"/>
  <c r="E155" i="2" s="1"/>
  <c r="G155" i="2" s="1"/>
  <c r="H155" i="2" s="1"/>
  <c r="B156" i="2" s="1"/>
  <c r="D156" i="2" l="1"/>
  <c r="E156" i="2" s="1"/>
  <c r="G156" i="2" s="1"/>
  <c r="H156" i="2" s="1"/>
  <c r="B157" i="2" s="1"/>
  <c r="D157" i="2" l="1"/>
  <c r="E157" i="2" s="1"/>
  <c r="G157" i="2" s="1"/>
  <c r="H157" i="2" s="1"/>
  <c r="B158" i="2" s="1"/>
  <c r="D158" i="2" l="1"/>
  <c r="E158" i="2" s="1"/>
  <c r="G158" i="2" s="1"/>
  <c r="H158" i="2" s="1"/>
  <c r="B159" i="2" s="1"/>
  <c r="D159" i="2" l="1"/>
  <c r="E159" i="2" s="1"/>
  <c r="G159" i="2" s="1"/>
  <c r="H159" i="2" s="1"/>
  <c r="B160" i="2" s="1"/>
  <c r="D160" i="2" l="1"/>
  <c r="E160" i="2" s="1"/>
  <c r="G160" i="2" s="1"/>
  <c r="H160" i="2" s="1"/>
  <c r="B161" i="2" s="1"/>
  <c r="D161" i="2" l="1"/>
  <c r="E161" i="2" s="1"/>
  <c r="G161" i="2" s="1"/>
  <c r="H161" i="2" s="1"/>
  <c r="B162" i="2" s="1"/>
  <c r="D162" i="2" l="1"/>
  <c r="E162" i="2" s="1"/>
  <c r="G162" i="2" s="1"/>
  <c r="H162" i="2" s="1"/>
  <c r="B163" i="2" s="1"/>
  <c r="D163" i="2" l="1"/>
  <c r="E163" i="2" s="1"/>
  <c r="G163" i="2" s="1"/>
  <c r="H163" i="2" s="1"/>
  <c r="B164" i="2" s="1"/>
  <c r="D164" i="2" l="1"/>
  <c r="E164" i="2" s="1"/>
  <c r="G164" i="2" s="1"/>
  <c r="H164" i="2" s="1"/>
  <c r="B165" i="2" s="1"/>
  <c r="D165" i="2" l="1"/>
  <c r="E165" i="2" s="1"/>
  <c r="G165" i="2" s="1"/>
  <c r="H165" i="2" s="1"/>
  <c r="B166" i="2" s="1"/>
  <c r="D166" i="2" l="1"/>
  <c r="E166" i="2" s="1"/>
  <c r="G166" i="2" s="1"/>
  <c r="H166" i="2" s="1"/>
  <c r="B167" i="2" s="1"/>
  <c r="D167" i="2" l="1"/>
  <c r="E167" i="2" s="1"/>
  <c r="G167" i="2" s="1"/>
  <c r="H167" i="2" s="1"/>
  <c r="B168" i="2" s="1"/>
  <c r="D168" i="2" l="1"/>
  <c r="E168" i="2" s="1"/>
  <c r="G168" i="2" s="1"/>
  <c r="H168" i="2" s="1"/>
  <c r="B169" i="2" s="1"/>
  <c r="D169" i="2" l="1"/>
  <c r="E169" i="2" s="1"/>
  <c r="G169" i="2" s="1"/>
  <c r="H169" i="2" s="1"/>
  <c r="B170" i="2" s="1"/>
  <c r="D170" i="2" l="1"/>
  <c r="E170" i="2" s="1"/>
  <c r="G170" i="2" s="1"/>
  <c r="H170" i="2" s="1"/>
  <c r="B171" i="2" s="1"/>
  <c r="D171" i="2" l="1"/>
  <c r="E171" i="2" s="1"/>
  <c r="G171" i="2" s="1"/>
  <c r="H171" i="2" s="1"/>
  <c r="B172" i="2" s="1"/>
  <c r="D172" i="2" l="1"/>
  <c r="E172" i="2" s="1"/>
  <c r="G172" i="2" s="1"/>
  <c r="H172" i="2" s="1"/>
  <c r="B173" i="2" s="1"/>
  <c r="D173" i="2" l="1"/>
  <c r="E173" i="2" s="1"/>
  <c r="G173" i="2" s="1"/>
  <c r="H173" i="2" s="1"/>
  <c r="B174" i="2" s="1"/>
  <c r="D174" i="2" l="1"/>
  <c r="E174" i="2" s="1"/>
  <c r="G174" i="2" s="1"/>
  <c r="H174" i="2" s="1"/>
  <c r="B175" i="2" s="1"/>
  <c r="D175" i="2" l="1"/>
  <c r="E175" i="2" s="1"/>
  <c r="G175" i="2" s="1"/>
  <c r="H175" i="2" s="1"/>
  <c r="B176" i="2" s="1"/>
  <c r="D176" i="2" l="1"/>
  <c r="E176" i="2" s="1"/>
  <c r="G176" i="2" s="1"/>
  <c r="H176" i="2" s="1"/>
  <c r="B177" i="2" s="1"/>
  <c r="D177" i="2" l="1"/>
  <c r="E177" i="2" s="1"/>
  <c r="G177" i="2" s="1"/>
  <c r="H177" i="2" s="1"/>
  <c r="B178" i="2" s="1"/>
  <c r="D178" i="2" l="1"/>
  <c r="E178" i="2" s="1"/>
  <c r="G178" i="2" s="1"/>
  <c r="H178" i="2" s="1"/>
  <c r="B179" i="2" s="1"/>
  <c r="D179" i="2" l="1"/>
  <c r="E179" i="2" s="1"/>
  <c r="G179" i="2" s="1"/>
  <c r="H179" i="2" s="1"/>
  <c r="B180" i="2" s="1"/>
  <c r="D180" i="2" l="1"/>
  <c r="E180" i="2" s="1"/>
  <c r="G180" i="2" s="1"/>
  <c r="H180" i="2" s="1"/>
  <c r="B181" i="2" s="1"/>
  <c r="D181" i="2" l="1"/>
  <c r="E181" i="2" s="1"/>
  <c r="G181" i="2" s="1"/>
  <c r="H181" i="2" s="1"/>
  <c r="B182" i="2" s="1"/>
  <c r="D182" i="2" l="1"/>
  <c r="E182" i="2" s="1"/>
  <c r="G182" i="2" s="1"/>
  <c r="H182" i="2" s="1"/>
  <c r="B183" i="2" s="1"/>
  <c r="D183" i="2" l="1"/>
  <c r="E183" i="2" s="1"/>
  <c r="G183" i="2" s="1"/>
  <c r="H183" i="2" s="1"/>
  <c r="B184" i="2" s="1"/>
  <c r="D184" i="2" l="1"/>
  <c r="E184" i="2" s="1"/>
  <c r="G184" i="2" s="1"/>
  <c r="H184" i="2" s="1"/>
  <c r="B185" i="2" s="1"/>
  <c r="D185" i="2" l="1"/>
  <c r="E185" i="2" s="1"/>
  <c r="G185" i="2" s="1"/>
  <c r="H185" i="2" s="1"/>
  <c r="B186" i="2" s="1"/>
  <c r="D186" i="2" l="1"/>
  <c r="E186" i="2" s="1"/>
  <c r="G186" i="2" s="1"/>
  <c r="H186" i="2" s="1"/>
  <c r="B187" i="2" s="1"/>
  <c r="D187" i="2" l="1"/>
  <c r="E187" i="2" s="1"/>
  <c r="G187" i="2" s="1"/>
  <c r="H187" i="2" s="1"/>
  <c r="B188" i="2" s="1"/>
  <c r="D188" i="2" l="1"/>
  <c r="E188" i="2" s="1"/>
  <c r="G188" i="2" s="1"/>
  <c r="H188" i="2" s="1"/>
  <c r="B189" i="2" s="1"/>
  <c r="D189" i="2" l="1"/>
  <c r="E189" i="2" s="1"/>
  <c r="G189" i="2" s="1"/>
  <c r="H189" i="2" s="1"/>
  <c r="B190" i="2" s="1"/>
  <c r="D190" i="2" l="1"/>
  <c r="E190" i="2" s="1"/>
  <c r="G190" i="2" s="1"/>
  <c r="H190" i="2" s="1"/>
  <c r="B191" i="2" s="1"/>
  <c r="D191" i="2" l="1"/>
  <c r="E191" i="2" s="1"/>
  <c r="G191" i="2" s="1"/>
  <c r="H191" i="2" s="1"/>
  <c r="B192" i="2" s="1"/>
  <c r="D192" i="2" l="1"/>
  <c r="E192" i="2" s="1"/>
  <c r="G192" i="2" s="1"/>
  <c r="H192" i="2" s="1"/>
  <c r="B193" i="2" s="1"/>
  <c r="D193" i="2" l="1"/>
  <c r="E193" i="2" s="1"/>
  <c r="G193" i="2" s="1"/>
  <c r="H193" i="2" s="1"/>
  <c r="B194" i="2" s="1"/>
  <c r="D194" i="2" l="1"/>
  <c r="E194" i="2" s="1"/>
  <c r="G194" i="2" s="1"/>
  <c r="H194" i="2" s="1"/>
  <c r="B195" i="2" s="1"/>
  <c r="D195" i="2" l="1"/>
  <c r="E195" i="2" s="1"/>
  <c r="G195" i="2" s="1"/>
  <c r="H195" i="2" s="1"/>
  <c r="B196" i="2" s="1"/>
  <c r="D196" i="2" l="1"/>
  <c r="E196" i="2" s="1"/>
  <c r="G196" i="2" s="1"/>
  <c r="H196" i="2" s="1"/>
  <c r="B197" i="2" s="1"/>
  <c r="D197" i="2" l="1"/>
  <c r="E197" i="2" s="1"/>
  <c r="G197" i="2" s="1"/>
  <c r="H197" i="2" s="1"/>
  <c r="B198" i="2" s="1"/>
  <c r="D198" i="2" l="1"/>
  <c r="E198" i="2" s="1"/>
  <c r="G198" i="2" s="1"/>
  <c r="H198" i="2" s="1"/>
  <c r="B199" i="2" s="1"/>
  <c r="D199" i="2" l="1"/>
  <c r="E199" i="2" s="1"/>
  <c r="G199" i="2" s="1"/>
  <c r="H199" i="2" s="1"/>
  <c r="B200" i="2" s="1"/>
  <c r="D200" i="2" l="1"/>
  <c r="E200" i="2" s="1"/>
  <c r="G200" i="2" s="1"/>
  <c r="H200" i="2" s="1"/>
  <c r="B201" i="2" s="1"/>
  <c r="D201" i="2" l="1"/>
  <c r="E201" i="2" s="1"/>
  <c r="G201" i="2" s="1"/>
  <c r="H201" i="2" s="1"/>
  <c r="B202" i="2" s="1"/>
  <c r="D202" i="2" l="1"/>
  <c r="E202" i="2" s="1"/>
  <c r="G202" i="2" s="1"/>
  <c r="H202" i="2" s="1"/>
  <c r="B203" i="2" s="1"/>
  <c r="D203" i="2" l="1"/>
  <c r="E203" i="2" s="1"/>
  <c r="G203" i="2" s="1"/>
  <c r="H203" i="2" s="1"/>
  <c r="B204" i="2" s="1"/>
  <c r="D204" i="2" l="1"/>
  <c r="E204" i="2" s="1"/>
  <c r="G204" i="2" s="1"/>
  <c r="H204" i="2" s="1"/>
  <c r="B205" i="2" s="1"/>
  <c r="D205" i="2" l="1"/>
  <c r="E205" i="2" s="1"/>
  <c r="G205" i="2" s="1"/>
  <c r="H205" i="2" s="1"/>
  <c r="B206" i="2" s="1"/>
  <c r="D206" i="2" l="1"/>
  <c r="E206" i="2" s="1"/>
  <c r="G206" i="2" s="1"/>
  <c r="H206" i="2" s="1"/>
  <c r="B207" i="2" s="1"/>
  <c r="D207" i="2" l="1"/>
  <c r="E207" i="2" s="1"/>
  <c r="G207" i="2" s="1"/>
  <c r="H207" i="2" s="1"/>
  <c r="B208" i="2" s="1"/>
  <c r="D208" i="2" l="1"/>
  <c r="E208" i="2" s="1"/>
  <c r="G208" i="2" s="1"/>
  <c r="H208" i="2" s="1"/>
  <c r="B209" i="2" s="1"/>
  <c r="D209" i="2" l="1"/>
  <c r="E209" i="2" s="1"/>
  <c r="G209" i="2" s="1"/>
  <c r="H209" i="2" s="1"/>
  <c r="B210" i="2" s="1"/>
  <c r="D210" i="2" l="1"/>
  <c r="E210" i="2" s="1"/>
  <c r="G210" i="2" s="1"/>
  <c r="H210" i="2" s="1"/>
  <c r="B211" i="2" s="1"/>
  <c r="D211" i="2" l="1"/>
  <c r="E211" i="2" s="1"/>
  <c r="G211" i="2" s="1"/>
  <c r="H211" i="2" s="1"/>
  <c r="B212" i="2" s="1"/>
  <c r="D212" i="2" l="1"/>
  <c r="E212" i="2" s="1"/>
  <c r="G212" i="2" s="1"/>
  <c r="H212" i="2" s="1"/>
  <c r="B213" i="2" s="1"/>
  <c r="D213" i="2" l="1"/>
  <c r="E213" i="2" s="1"/>
  <c r="G213" i="2" s="1"/>
  <c r="H213" i="2" s="1"/>
  <c r="B214" i="2" s="1"/>
  <c r="D214" i="2" l="1"/>
  <c r="E214" i="2" s="1"/>
  <c r="G214" i="2" s="1"/>
  <c r="H214" i="2" s="1"/>
  <c r="B215" i="2" s="1"/>
  <c r="D215" i="2" l="1"/>
  <c r="E215" i="2" s="1"/>
  <c r="G215" i="2" s="1"/>
  <c r="H215" i="2" s="1"/>
  <c r="B216" i="2" s="1"/>
  <c r="D216" i="2" l="1"/>
  <c r="E216" i="2" s="1"/>
  <c r="G216" i="2" s="1"/>
  <c r="H216" i="2" s="1"/>
  <c r="B217" i="2" s="1"/>
  <c r="D217" i="2" l="1"/>
  <c r="E217" i="2" s="1"/>
  <c r="G217" i="2" s="1"/>
  <c r="H217" i="2" s="1"/>
  <c r="B218" i="2" s="1"/>
  <c r="D218" i="2" l="1"/>
  <c r="E218" i="2" s="1"/>
  <c r="G218" i="2" s="1"/>
  <c r="H218" i="2" s="1"/>
  <c r="B219" i="2" s="1"/>
  <c r="D219" i="2" l="1"/>
  <c r="E219" i="2" s="1"/>
  <c r="G219" i="2" s="1"/>
  <c r="H219" i="2" s="1"/>
  <c r="B220" i="2" s="1"/>
  <c r="D220" i="2" l="1"/>
  <c r="E220" i="2" s="1"/>
  <c r="G220" i="2" s="1"/>
  <c r="H220" i="2" s="1"/>
  <c r="B221" i="2" s="1"/>
  <c r="D221" i="2" l="1"/>
  <c r="E221" i="2" s="1"/>
  <c r="G221" i="2" s="1"/>
  <c r="H221" i="2" s="1"/>
  <c r="B222" i="2" s="1"/>
  <c r="D222" i="2" l="1"/>
  <c r="E222" i="2" s="1"/>
  <c r="G222" i="2" s="1"/>
  <c r="H222" i="2" s="1"/>
  <c r="B223" i="2" s="1"/>
  <c r="D223" i="2" l="1"/>
  <c r="E223" i="2" s="1"/>
  <c r="G223" i="2" s="1"/>
  <c r="H223" i="2" s="1"/>
  <c r="B224" i="2" s="1"/>
  <c r="D224" i="2" l="1"/>
  <c r="E224" i="2" s="1"/>
  <c r="G224" i="2" s="1"/>
  <c r="H224" i="2" s="1"/>
  <c r="B225" i="2" s="1"/>
  <c r="D225" i="2" l="1"/>
  <c r="E225" i="2" s="1"/>
  <c r="G225" i="2" s="1"/>
  <c r="H225" i="2" s="1"/>
  <c r="B226" i="2" s="1"/>
  <c r="D226" i="2" l="1"/>
  <c r="E226" i="2" s="1"/>
  <c r="G226" i="2" s="1"/>
  <c r="H226" i="2" s="1"/>
  <c r="B227" i="2" s="1"/>
  <c r="D227" i="2" l="1"/>
  <c r="E227" i="2" s="1"/>
  <c r="G227" i="2" s="1"/>
  <c r="H227" i="2" s="1"/>
  <c r="B228" i="2" s="1"/>
  <c r="D228" i="2" l="1"/>
  <c r="E228" i="2" s="1"/>
  <c r="G228" i="2" s="1"/>
  <c r="H228" i="2" s="1"/>
  <c r="B229" i="2" s="1"/>
  <c r="D229" i="2" l="1"/>
  <c r="E229" i="2" s="1"/>
  <c r="G229" i="2" s="1"/>
  <c r="H229" i="2" s="1"/>
  <c r="B230" i="2" s="1"/>
  <c r="D230" i="2" l="1"/>
  <c r="E230" i="2" s="1"/>
  <c r="G230" i="2" s="1"/>
  <c r="H230" i="2" s="1"/>
  <c r="B231" i="2" s="1"/>
  <c r="D231" i="2" l="1"/>
  <c r="E231" i="2" s="1"/>
  <c r="G231" i="2" s="1"/>
  <c r="H231" i="2" s="1"/>
  <c r="B232" i="2" s="1"/>
  <c r="D232" i="2" l="1"/>
  <c r="E232" i="2" s="1"/>
  <c r="G232" i="2" s="1"/>
  <c r="H232" i="2" s="1"/>
  <c r="B233" i="2" s="1"/>
  <c r="D233" i="2" l="1"/>
  <c r="E233" i="2" s="1"/>
  <c r="G233" i="2" s="1"/>
  <c r="H233" i="2" s="1"/>
  <c r="B234" i="2" s="1"/>
  <c r="D234" i="2" l="1"/>
  <c r="E234" i="2" s="1"/>
  <c r="G234" i="2" s="1"/>
  <c r="H234" i="2" s="1"/>
  <c r="B235" i="2" s="1"/>
  <c r="D235" i="2" l="1"/>
  <c r="E235" i="2" s="1"/>
  <c r="G235" i="2" s="1"/>
  <c r="H235" i="2" s="1"/>
  <c r="B236" i="2" s="1"/>
  <c r="D236" i="2" l="1"/>
  <c r="E236" i="2" s="1"/>
  <c r="G236" i="2" s="1"/>
  <c r="H236" i="2" s="1"/>
  <c r="B237" i="2" s="1"/>
  <c r="D237" i="2" l="1"/>
  <c r="E237" i="2" s="1"/>
  <c r="G237" i="2" s="1"/>
  <c r="H237" i="2" s="1"/>
  <c r="B238" i="2" s="1"/>
  <c r="D238" i="2" l="1"/>
  <c r="E238" i="2" s="1"/>
  <c r="G238" i="2" s="1"/>
  <c r="H238" i="2" s="1"/>
  <c r="B239" i="2" s="1"/>
  <c r="D239" i="2" l="1"/>
  <c r="E239" i="2" s="1"/>
  <c r="G239" i="2" s="1"/>
  <c r="H239" i="2" s="1"/>
  <c r="B240" i="2" s="1"/>
  <c r="D240" i="2" l="1"/>
  <c r="E240" i="2" s="1"/>
  <c r="G240" i="2" s="1"/>
  <c r="H240" i="2" s="1"/>
  <c r="B241" i="2" s="1"/>
  <c r="D241" i="2" l="1"/>
  <c r="E241" i="2" s="1"/>
  <c r="G241" i="2" s="1"/>
  <c r="H241" i="2" s="1"/>
  <c r="B242" i="2" s="1"/>
  <c r="D242" i="2" l="1"/>
  <c r="E242" i="2" s="1"/>
  <c r="G242" i="2" s="1"/>
  <c r="H242" i="2" s="1"/>
  <c r="B243" i="2" s="1"/>
  <c r="D243" i="2" l="1"/>
  <c r="E243" i="2" s="1"/>
  <c r="G243" i="2" s="1"/>
  <c r="H243" i="2" s="1"/>
  <c r="B244" i="2" s="1"/>
  <c r="D244" i="2" l="1"/>
  <c r="E244" i="2" s="1"/>
  <c r="G244" i="2" s="1"/>
  <c r="H244" i="2" s="1"/>
  <c r="B245" i="2" s="1"/>
  <c r="D245" i="2" l="1"/>
  <c r="E245" i="2" s="1"/>
  <c r="G245" i="2" s="1"/>
  <c r="H245" i="2" s="1"/>
  <c r="B246" i="2" s="1"/>
  <c r="D246" i="2" l="1"/>
  <c r="E246" i="2" s="1"/>
  <c r="G246" i="2" s="1"/>
  <c r="H246" i="2" s="1"/>
  <c r="B247" i="2" s="1"/>
  <c r="D247" i="2" l="1"/>
  <c r="E247" i="2" s="1"/>
  <c r="G247" i="2" s="1"/>
  <c r="H247" i="2" s="1"/>
  <c r="B248" i="2" s="1"/>
  <c r="D248" i="2" l="1"/>
  <c r="E248" i="2" s="1"/>
  <c r="G248" i="2" s="1"/>
  <c r="H248" i="2" s="1"/>
  <c r="B249" i="2" s="1"/>
  <c r="D249" i="2" l="1"/>
  <c r="E249" i="2" s="1"/>
  <c r="G249" i="2" s="1"/>
  <c r="H249" i="2" s="1"/>
  <c r="B250" i="2" s="1"/>
  <c r="D250" i="2" l="1"/>
  <c r="E250" i="2" s="1"/>
  <c r="G250" i="2" s="1"/>
  <c r="H250" i="2" s="1"/>
  <c r="B251" i="2" s="1"/>
  <c r="D251" i="2" l="1"/>
  <c r="E251" i="2" s="1"/>
  <c r="G251" i="2" s="1"/>
  <c r="H251" i="2" s="1"/>
  <c r="B252" i="2" s="1"/>
  <c r="D252" i="2" l="1"/>
  <c r="E252" i="2" s="1"/>
  <c r="G252" i="2" s="1"/>
  <c r="H252" i="2" s="1"/>
  <c r="B253" i="2" s="1"/>
  <c r="D253" i="2" l="1"/>
  <c r="E253" i="2" s="1"/>
  <c r="G253" i="2" s="1"/>
  <c r="H253" i="2" s="1"/>
  <c r="B254" i="2" s="1"/>
  <c r="D254" i="2" l="1"/>
  <c r="E254" i="2" s="1"/>
  <c r="G254" i="2" s="1"/>
  <c r="H254" i="2" s="1"/>
  <c r="B255" i="2" s="1"/>
  <c r="D255" i="2" l="1"/>
  <c r="E255" i="2" s="1"/>
  <c r="G255" i="2" s="1"/>
  <c r="H255" i="2" s="1"/>
  <c r="B256" i="2" s="1"/>
  <c r="D256" i="2" l="1"/>
  <c r="E256" i="2" s="1"/>
  <c r="G256" i="2" s="1"/>
  <c r="H256" i="2" s="1"/>
  <c r="B257" i="2" s="1"/>
  <c r="D257" i="2" l="1"/>
  <c r="E257" i="2" s="1"/>
  <c r="G257" i="2" s="1"/>
  <c r="H257" i="2" s="1"/>
  <c r="B258" i="2" s="1"/>
  <c r="D258" i="2" l="1"/>
  <c r="E258" i="2" s="1"/>
  <c r="G258" i="2" s="1"/>
  <c r="H258" i="2" s="1"/>
  <c r="B259" i="2" s="1"/>
  <c r="D259" i="2" l="1"/>
  <c r="E259" i="2" s="1"/>
  <c r="G259" i="2" s="1"/>
  <c r="H259" i="2" s="1"/>
  <c r="B260" i="2" s="1"/>
  <c r="D260" i="2" l="1"/>
  <c r="E260" i="2" s="1"/>
  <c r="G260" i="2" s="1"/>
  <c r="H260" i="2" s="1"/>
  <c r="B261" i="2" s="1"/>
  <c r="D261" i="2" l="1"/>
  <c r="E261" i="2" s="1"/>
  <c r="G261" i="2" s="1"/>
  <c r="H261" i="2" s="1"/>
  <c r="B262" i="2" s="1"/>
  <c r="D262" i="2" l="1"/>
  <c r="E262" i="2" s="1"/>
  <c r="G262" i="2" s="1"/>
  <c r="H262" i="2" s="1"/>
  <c r="B263" i="2" s="1"/>
  <c r="D263" i="2" l="1"/>
  <c r="E263" i="2" s="1"/>
  <c r="G263" i="2" s="1"/>
  <c r="H263" i="2" s="1"/>
  <c r="B264" i="2" s="1"/>
  <c r="D264" i="2" l="1"/>
  <c r="E264" i="2" s="1"/>
  <c r="G264" i="2" s="1"/>
  <c r="H264" i="2" s="1"/>
  <c r="B265" i="2" s="1"/>
  <c r="D265" i="2" l="1"/>
  <c r="E265" i="2" s="1"/>
  <c r="G265" i="2" s="1"/>
  <c r="H265" i="2" s="1"/>
  <c r="B266" i="2" s="1"/>
  <c r="D266" i="2" l="1"/>
  <c r="E266" i="2" s="1"/>
  <c r="G266" i="2" s="1"/>
  <c r="H266" i="2" s="1"/>
  <c r="B267" i="2" s="1"/>
  <c r="D267" i="2" l="1"/>
  <c r="E267" i="2" s="1"/>
  <c r="G267" i="2" s="1"/>
  <c r="H267" i="2" s="1"/>
  <c r="B268" i="2" s="1"/>
  <c r="D268" i="2" l="1"/>
  <c r="E268" i="2" s="1"/>
  <c r="G268" i="2" s="1"/>
  <c r="H268" i="2" s="1"/>
  <c r="B269" i="2" s="1"/>
  <c r="D269" i="2" l="1"/>
  <c r="E269" i="2" s="1"/>
  <c r="G269" i="2" s="1"/>
  <c r="H269" i="2" s="1"/>
  <c r="B270" i="2" s="1"/>
  <c r="D270" i="2" l="1"/>
  <c r="E270" i="2" s="1"/>
  <c r="G270" i="2" s="1"/>
  <c r="H270" i="2" s="1"/>
  <c r="B271" i="2" s="1"/>
  <c r="D271" i="2" l="1"/>
  <c r="E271" i="2" s="1"/>
  <c r="G271" i="2" s="1"/>
  <c r="H271" i="2" s="1"/>
  <c r="B272" i="2" s="1"/>
  <c r="D272" i="2" l="1"/>
  <c r="E272" i="2" s="1"/>
  <c r="G272" i="2" s="1"/>
  <c r="H272" i="2" s="1"/>
  <c r="B273" i="2" s="1"/>
  <c r="D273" i="2" l="1"/>
  <c r="E273" i="2" s="1"/>
  <c r="G273" i="2" s="1"/>
  <c r="H273" i="2" s="1"/>
  <c r="B274" i="2" s="1"/>
  <c r="D274" i="2" l="1"/>
  <c r="E274" i="2" s="1"/>
  <c r="G274" i="2" s="1"/>
  <c r="H274" i="2" s="1"/>
  <c r="B275" i="2" s="1"/>
  <c r="D275" i="2" l="1"/>
  <c r="E275" i="2" s="1"/>
  <c r="G275" i="2" s="1"/>
  <c r="H275" i="2" s="1"/>
  <c r="B276" i="2" s="1"/>
  <c r="D276" i="2" l="1"/>
  <c r="E276" i="2" s="1"/>
  <c r="G276" i="2" s="1"/>
  <c r="H276" i="2" s="1"/>
  <c r="B277" i="2" s="1"/>
  <c r="D277" i="2" l="1"/>
  <c r="E277" i="2" s="1"/>
  <c r="G277" i="2" s="1"/>
  <c r="H277" i="2" s="1"/>
  <c r="B278" i="2" s="1"/>
  <c r="D278" i="2" l="1"/>
  <c r="E278" i="2" s="1"/>
  <c r="G278" i="2" s="1"/>
  <c r="H278" i="2" s="1"/>
  <c r="B279" i="2" s="1"/>
  <c r="D279" i="2" l="1"/>
  <c r="E279" i="2" s="1"/>
  <c r="G279" i="2" s="1"/>
  <c r="H279" i="2" s="1"/>
  <c r="B280" i="2" s="1"/>
  <c r="D280" i="2" l="1"/>
  <c r="E280" i="2" s="1"/>
  <c r="G280" i="2" s="1"/>
  <c r="H280" i="2" s="1"/>
  <c r="B281" i="2" s="1"/>
  <c r="D281" i="2" l="1"/>
  <c r="E281" i="2" s="1"/>
  <c r="G281" i="2" s="1"/>
  <c r="H281" i="2" s="1"/>
  <c r="B282" i="2" s="1"/>
  <c r="D282" i="2" l="1"/>
  <c r="E282" i="2" s="1"/>
  <c r="G282" i="2" s="1"/>
  <c r="H282" i="2" s="1"/>
  <c r="B283" i="2" s="1"/>
  <c r="D283" i="2" l="1"/>
  <c r="E283" i="2" s="1"/>
  <c r="G283" i="2" s="1"/>
  <c r="H283" i="2" s="1"/>
  <c r="B284" i="2" s="1"/>
  <c r="D284" i="2" l="1"/>
  <c r="E284" i="2" s="1"/>
  <c r="G284" i="2" s="1"/>
  <c r="H284" i="2" s="1"/>
  <c r="B285" i="2" s="1"/>
  <c r="D285" i="2" l="1"/>
  <c r="E285" i="2" s="1"/>
  <c r="G285" i="2" s="1"/>
  <c r="H285" i="2" s="1"/>
  <c r="B286" i="2" s="1"/>
  <c r="D286" i="2" l="1"/>
  <c r="E286" i="2" s="1"/>
  <c r="G286" i="2" s="1"/>
  <c r="H286" i="2" s="1"/>
  <c r="B287" i="2" s="1"/>
  <c r="D287" i="2" l="1"/>
  <c r="E287" i="2" s="1"/>
  <c r="G287" i="2" s="1"/>
  <c r="H287" i="2" s="1"/>
  <c r="B288" i="2" s="1"/>
  <c r="D288" i="2" l="1"/>
  <c r="E288" i="2" s="1"/>
  <c r="G288" i="2" s="1"/>
  <c r="H288" i="2" s="1"/>
  <c r="B289" i="2" s="1"/>
  <c r="D289" i="2" l="1"/>
  <c r="E289" i="2" s="1"/>
  <c r="G289" i="2" s="1"/>
  <c r="H289" i="2" s="1"/>
  <c r="B290" i="2" s="1"/>
  <c r="D290" i="2" l="1"/>
  <c r="E290" i="2" s="1"/>
  <c r="G290" i="2" s="1"/>
  <c r="H290" i="2" s="1"/>
  <c r="B291" i="2" s="1"/>
  <c r="D291" i="2" l="1"/>
  <c r="E291" i="2" s="1"/>
  <c r="G291" i="2" s="1"/>
  <c r="H291" i="2" s="1"/>
  <c r="B292" i="2" s="1"/>
  <c r="D292" i="2" l="1"/>
  <c r="E292" i="2" s="1"/>
  <c r="G292" i="2" s="1"/>
  <c r="H292" i="2" s="1"/>
  <c r="B293" i="2" s="1"/>
  <c r="D293" i="2" l="1"/>
  <c r="E293" i="2" s="1"/>
  <c r="G293" i="2" s="1"/>
  <c r="H293" i="2" s="1"/>
  <c r="B294" i="2" s="1"/>
  <c r="D294" i="2" l="1"/>
  <c r="E294" i="2" s="1"/>
  <c r="G294" i="2" s="1"/>
  <c r="H294" i="2" s="1"/>
  <c r="B295" i="2" s="1"/>
  <c r="D295" i="2" l="1"/>
  <c r="E295" i="2" s="1"/>
  <c r="G295" i="2" s="1"/>
  <c r="H295" i="2" s="1"/>
  <c r="B296" i="2" s="1"/>
  <c r="D296" i="2" l="1"/>
  <c r="E296" i="2" s="1"/>
  <c r="G296" i="2" s="1"/>
  <c r="H296" i="2" s="1"/>
  <c r="B297" i="2" s="1"/>
  <c r="D297" i="2" l="1"/>
  <c r="E297" i="2" s="1"/>
  <c r="G297" i="2" s="1"/>
  <c r="H297" i="2" s="1"/>
  <c r="B298" i="2" s="1"/>
  <c r="D298" i="2" l="1"/>
  <c r="E298" i="2" s="1"/>
  <c r="G298" i="2" s="1"/>
  <c r="H298" i="2" s="1"/>
  <c r="B299" i="2" s="1"/>
  <c r="D299" i="2" l="1"/>
  <c r="E299" i="2" s="1"/>
  <c r="G299" i="2" s="1"/>
  <c r="H299" i="2" s="1"/>
  <c r="B300" i="2" s="1"/>
  <c r="D300" i="2" l="1"/>
  <c r="E300" i="2" s="1"/>
  <c r="G300" i="2" s="1"/>
  <c r="H300" i="2" s="1"/>
  <c r="B301" i="2" s="1"/>
  <c r="D301" i="2" l="1"/>
  <c r="E301" i="2" s="1"/>
  <c r="G301" i="2" s="1"/>
  <c r="H301" i="2" s="1"/>
  <c r="B302" i="2" s="1"/>
  <c r="D302" i="2" l="1"/>
  <c r="E302" i="2" s="1"/>
  <c r="G302" i="2" s="1"/>
  <c r="H302" i="2" s="1"/>
  <c r="B303" i="2" s="1"/>
  <c r="D303" i="2" l="1"/>
  <c r="E303" i="2" s="1"/>
  <c r="G303" i="2" s="1"/>
  <c r="H303" i="2" s="1"/>
  <c r="B304" i="2" s="1"/>
  <c r="D304" i="2" l="1"/>
  <c r="E304" i="2" s="1"/>
  <c r="G304" i="2" s="1"/>
  <c r="H304" i="2" s="1"/>
  <c r="B305" i="2" s="1"/>
  <c r="D305" i="2" l="1"/>
  <c r="E305" i="2" s="1"/>
  <c r="G305" i="2" s="1"/>
  <c r="H305" i="2" s="1"/>
  <c r="B306" i="2" s="1"/>
  <c r="D306" i="2" l="1"/>
  <c r="E306" i="2" s="1"/>
  <c r="G306" i="2" s="1"/>
  <c r="H306" i="2" s="1"/>
  <c r="B307" i="2" s="1"/>
  <c r="D307" i="2" l="1"/>
  <c r="E307" i="2" s="1"/>
  <c r="G307" i="2" s="1"/>
  <c r="H307" i="2" s="1"/>
  <c r="B308" i="2" s="1"/>
  <c r="D308" i="2" l="1"/>
  <c r="E308" i="2" s="1"/>
  <c r="G308" i="2" s="1"/>
  <c r="H308" i="2" s="1"/>
  <c r="B309" i="2" s="1"/>
  <c r="D309" i="2" l="1"/>
  <c r="E309" i="2" s="1"/>
  <c r="G309" i="2" s="1"/>
  <c r="H309" i="2" s="1"/>
  <c r="B310" i="2" s="1"/>
  <c r="D310" i="2" l="1"/>
  <c r="E310" i="2" s="1"/>
  <c r="G310" i="2" s="1"/>
  <c r="H310" i="2" s="1"/>
  <c r="B311" i="2" s="1"/>
  <c r="D311" i="2" l="1"/>
  <c r="E311" i="2" s="1"/>
  <c r="G311" i="2" s="1"/>
  <c r="H311" i="2" s="1"/>
  <c r="B312" i="2" s="1"/>
  <c r="D312" i="2" l="1"/>
  <c r="E312" i="2" s="1"/>
  <c r="G312" i="2" s="1"/>
  <c r="H312" i="2" s="1"/>
  <c r="B313" i="2" s="1"/>
  <c r="D313" i="2" l="1"/>
  <c r="E313" i="2" s="1"/>
  <c r="G313" i="2" s="1"/>
  <c r="H313" i="2" s="1"/>
  <c r="B314" i="2" s="1"/>
  <c r="D314" i="2" l="1"/>
  <c r="E314" i="2" s="1"/>
  <c r="G314" i="2" s="1"/>
  <c r="H314" i="2" s="1"/>
  <c r="B315" i="2" s="1"/>
  <c r="D315" i="2" l="1"/>
  <c r="E315" i="2" s="1"/>
  <c r="G315" i="2" s="1"/>
  <c r="H315" i="2" s="1"/>
  <c r="B316" i="2" s="1"/>
  <c r="D316" i="2" l="1"/>
  <c r="E316" i="2" s="1"/>
  <c r="G316" i="2" s="1"/>
  <c r="H316" i="2" s="1"/>
  <c r="B317" i="2" s="1"/>
  <c r="D317" i="2" l="1"/>
  <c r="E317" i="2" s="1"/>
  <c r="G317" i="2" s="1"/>
  <c r="H317" i="2" s="1"/>
  <c r="B318" i="2" s="1"/>
  <c r="D318" i="2" l="1"/>
  <c r="E318" i="2" s="1"/>
  <c r="G318" i="2" s="1"/>
  <c r="H318" i="2" s="1"/>
  <c r="B319" i="2" s="1"/>
  <c r="D319" i="2" l="1"/>
  <c r="E319" i="2" s="1"/>
  <c r="G319" i="2" s="1"/>
  <c r="H319" i="2" s="1"/>
  <c r="B320" i="2" s="1"/>
  <c r="D320" i="2" l="1"/>
  <c r="E320" i="2" s="1"/>
  <c r="G320" i="2" s="1"/>
  <c r="H320" i="2" s="1"/>
  <c r="B321" i="2" s="1"/>
  <c r="D321" i="2" l="1"/>
  <c r="E321" i="2" s="1"/>
  <c r="G321" i="2" s="1"/>
  <c r="H321" i="2" s="1"/>
  <c r="B322" i="2" s="1"/>
  <c r="D322" i="2" l="1"/>
  <c r="E322" i="2" s="1"/>
  <c r="G322" i="2" s="1"/>
  <c r="H322" i="2" s="1"/>
  <c r="B323" i="2" s="1"/>
  <c r="D323" i="2" l="1"/>
  <c r="E323" i="2" s="1"/>
  <c r="G323" i="2" s="1"/>
  <c r="H323" i="2" s="1"/>
  <c r="B324" i="2" s="1"/>
  <c r="D324" i="2" l="1"/>
  <c r="E324" i="2" s="1"/>
  <c r="G324" i="2" s="1"/>
  <c r="H324" i="2" s="1"/>
  <c r="B325" i="2" s="1"/>
  <c r="D325" i="2" l="1"/>
  <c r="E325" i="2" s="1"/>
  <c r="G325" i="2" s="1"/>
  <c r="H325" i="2" s="1"/>
  <c r="B326" i="2" s="1"/>
  <c r="D326" i="2" l="1"/>
  <c r="E326" i="2" s="1"/>
  <c r="G326" i="2" s="1"/>
  <c r="H326" i="2" s="1"/>
  <c r="B327" i="2" s="1"/>
  <c r="D327" i="2" l="1"/>
  <c r="E327" i="2" s="1"/>
  <c r="G327" i="2" s="1"/>
  <c r="H327" i="2" s="1"/>
  <c r="B328" i="2" s="1"/>
  <c r="D328" i="2" l="1"/>
  <c r="E328" i="2" s="1"/>
  <c r="G328" i="2" s="1"/>
  <c r="H328" i="2" s="1"/>
  <c r="B329" i="2" s="1"/>
  <c r="D329" i="2" l="1"/>
  <c r="E329" i="2" s="1"/>
  <c r="G329" i="2" s="1"/>
  <c r="H329" i="2" s="1"/>
  <c r="B330" i="2" s="1"/>
  <c r="D330" i="2" l="1"/>
  <c r="E330" i="2" s="1"/>
  <c r="G330" i="2" s="1"/>
  <c r="H330" i="2" s="1"/>
  <c r="B331" i="2" s="1"/>
  <c r="D331" i="2" l="1"/>
  <c r="E331" i="2" s="1"/>
  <c r="G331" i="2" s="1"/>
  <c r="H331" i="2" s="1"/>
  <c r="B332" i="2" s="1"/>
  <c r="D332" i="2" l="1"/>
  <c r="E332" i="2" s="1"/>
  <c r="G332" i="2" s="1"/>
  <c r="H332" i="2" s="1"/>
  <c r="B333" i="2" s="1"/>
  <c r="D333" i="2" l="1"/>
  <c r="E333" i="2" s="1"/>
  <c r="G333" i="2" s="1"/>
  <c r="H333" i="2" s="1"/>
  <c r="B334" i="2" s="1"/>
  <c r="D334" i="2" l="1"/>
  <c r="E334" i="2" s="1"/>
  <c r="G334" i="2" s="1"/>
  <c r="H334" i="2" s="1"/>
  <c r="B335" i="2" s="1"/>
  <c r="D335" i="2" l="1"/>
  <c r="E335" i="2" s="1"/>
  <c r="G335" i="2" s="1"/>
  <c r="H335" i="2" s="1"/>
  <c r="B336" i="2" s="1"/>
  <c r="D336" i="2" l="1"/>
  <c r="E336" i="2" s="1"/>
  <c r="G336" i="2" s="1"/>
  <c r="H336" i="2" s="1"/>
  <c r="B337" i="2" s="1"/>
  <c r="D337" i="2" l="1"/>
  <c r="E337" i="2" s="1"/>
  <c r="G337" i="2" s="1"/>
  <c r="H337" i="2" s="1"/>
  <c r="B338" i="2" s="1"/>
  <c r="D338" i="2" l="1"/>
  <c r="E338" i="2" s="1"/>
  <c r="G338" i="2" s="1"/>
  <c r="H338" i="2" s="1"/>
  <c r="B339" i="2" s="1"/>
  <c r="D339" i="2" l="1"/>
  <c r="E339" i="2" s="1"/>
  <c r="G339" i="2" s="1"/>
  <c r="H339" i="2" s="1"/>
  <c r="B340" i="2" s="1"/>
  <c r="D340" i="2" l="1"/>
  <c r="E340" i="2" s="1"/>
  <c r="G340" i="2" s="1"/>
  <c r="H340" i="2" s="1"/>
  <c r="B341" i="2" s="1"/>
  <c r="D341" i="2" l="1"/>
  <c r="E341" i="2" s="1"/>
  <c r="G341" i="2" s="1"/>
  <c r="H341" i="2" s="1"/>
  <c r="B342" i="2" s="1"/>
  <c r="D342" i="2" l="1"/>
  <c r="E342" i="2" s="1"/>
  <c r="G342" i="2" s="1"/>
  <c r="H342" i="2" s="1"/>
  <c r="B343" i="2" s="1"/>
  <c r="D343" i="2" l="1"/>
  <c r="E343" i="2" s="1"/>
  <c r="G343" i="2" s="1"/>
  <c r="H343" i="2" s="1"/>
  <c r="B344" i="2" s="1"/>
  <c r="D344" i="2" l="1"/>
  <c r="E344" i="2" s="1"/>
  <c r="G344" i="2" s="1"/>
  <c r="H344" i="2" s="1"/>
  <c r="B345" i="2" s="1"/>
  <c r="D345" i="2" l="1"/>
  <c r="E345" i="2" s="1"/>
  <c r="G345" i="2" s="1"/>
  <c r="H345" i="2" s="1"/>
  <c r="B346" i="2" s="1"/>
  <c r="D346" i="2" l="1"/>
  <c r="E346" i="2" s="1"/>
  <c r="G346" i="2" s="1"/>
  <c r="H346" i="2" s="1"/>
  <c r="B347" i="2" s="1"/>
  <c r="D347" i="2" l="1"/>
  <c r="E347" i="2" s="1"/>
  <c r="G347" i="2" s="1"/>
  <c r="H347" i="2" s="1"/>
  <c r="B348" i="2" s="1"/>
  <c r="D348" i="2" l="1"/>
  <c r="E348" i="2" s="1"/>
  <c r="G348" i="2" s="1"/>
  <c r="H348" i="2" s="1"/>
  <c r="B349" i="2" s="1"/>
  <c r="D349" i="2" l="1"/>
  <c r="E349" i="2" s="1"/>
  <c r="G349" i="2" s="1"/>
  <c r="H349" i="2" s="1"/>
  <c r="B350" i="2" s="1"/>
  <c r="D350" i="2" l="1"/>
  <c r="E350" i="2" s="1"/>
  <c r="G350" i="2" s="1"/>
  <c r="H350" i="2" s="1"/>
  <c r="B351" i="2" s="1"/>
  <c r="D351" i="2" l="1"/>
  <c r="E351" i="2" s="1"/>
  <c r="G351" i="2" s="1"/>
  <c r="H351" i="2" s="1"/>
  <c r="B352" i="2" s="1"/>
  <c r="D352" i="2" l="1"/>
  <c r="E352" i="2" s="1"/>
  <c r="G352" i="2" s="1"/>
  <c r="H352" i="2" s="1"/>
  <c r="B353" i="2" s="1"/>
  <c r="D353" i="2" l="1"/>
  <c r="E353" i="2" s="1"/>
  <c r="G353" i="2" s="1"/>
  <c r="H353" i="2" s="1"/>
  <c r="B354" i="2" s="1"/>
  <c r="D354" i="2" l="1"/>
  <c r="E354" i="2" s="1"/>
  <c r="G354" i="2" s="1"/>
  <c r="H354" i="2" s="1"/>
  <c r="B355" i="2" s="1"/>
  <c r="D355" i="2" l="1"/>
  <c r="E355" i="2" s="1"/>
  <c r="G355" i="2" s="1"/>
  <c r="H355" i="2" s="1"/>
  <c r="B356" i="2" s="1"/>
  <c r="D356" i="2" l="1"/>
  <c r="E356" i="2" s="1"/>
  <c r="G356" i="2" s="1"/>
  <c r="H356" i="2" s="1"/>
  <c r="B357" i="2" s="1"/>
  <c r="D357" i="2" l="1"/>
  <c r="E357" i="2" s="1"/>
  <c r="G357" i="2" s="1"/>
  <c r="H357" i="2" s="1"/>
  <c r="B358" i="2" s="1"/>
  <c r="D358" i="2" l="1"/>
  <c r="E358" i="2" s="1"/>
  <c r="G358" i="2" s="1"/>
  <c r="H358" i="2" s="1"/>
  <c r="B359" i="2" s="1"/>
  <c r="D359" i="2" l="1"/>
  <c r="E359" i="2" s="1"/>
  <c r="G359" i="2" s="1"/>
  <c r="H359" i="2" s="1"/>
  <c r="B360" i="2" s="1"/>
  <c r="D360" i="2" l="1"/>
  <c r="E360" i="2" s="1"/>
  <c r="G360" i="2" s="1"/>
  <c r="H360" i="2" s="1"/>
  <c r="B361" i="2" s="1"/>
  <c r="D361" i="2" l="1"/>
  <c r="E361" i="2" s="1"/>
  <c r="G361" i="2" s="1"/>
  <c r="H361" i="2" s="1"/>
  <c r="B2" i="3" s="1" a="1"/>
  <c r="B2" i="3" s="1"/>
  <c r="B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<sst xmlns="http://schemas.openxmlformats.org/spreadsheetml/2006/main" count="26" uniqueCount="25">
  <si>
    <t>Precio del Inmueble</t>
  </si>
  <si>
    <t>Inicial %</t>
  </si>
  <si>
    <t>Cuota Inicial</t>
  </si>
  <si>
    <t>Importe del Prestamo</t>
  </si>
  <si>
    <t>TEA</t>
  </si>
  <si>
    <t>TEM</t>
  </si>
  <si>
    <t>Plazo Meses</t>
  </si>
  <si>
    <t>Seguro Desgravamen TEM</t>
  </si>
  <si>
    <t>Seguro Inmueble TNA</t>
  </si>
  <si>
    <t>Cuota Base</t>
  </si>
  <si>
    <t>Aporte Extra Capital</t>
  </si>
  <si>
    <t>Mes</t>
  </si>
  <si>
    <t>Saldo Inicial</t>
  </si>
  <si>
    <t>Interes</t>
  </si>
  <si>
    <t>Capital</t>
  </si>
  <si>
    <t>Aporte Extra</t>
  </si>
  <si>
    <t>Capital Total</t>
  </si>
  <si>
    <t>Saldo Final</t>
  </si>
  <si>
    <t>Plazo Original (meses)</t>
  </si>
  <si>
    <t>Mes de Cancelacion</t>
  </si>
  <si>
    <t>Meses Reducidos</t>
  </si>
  <si>
    <t>Simulacion pago rapido</t>
  </si>
  <si>
    <t>Años</t>
  </si>
  <si>
    <t>Cuota Necesaria</t>
  </si>
  <si>
    <t>Cuota Mensual Extraordinaria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</si>
</sst>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00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E4E4E4"/>
        </patternFill>
      </fill>
    </dxf>
    <dxf>
      <font>
        <b/>
        <i val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E4E4E4"/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tabSelected="1" workbookViewId="0">
      <selection activeCell="F8" sqref="F8"/>
    </sheetView>
  </sheetViews>
  <sheetFormatPr baseColWidth="10" defaultColWidth="8.88671875" defaultRowHeight="14.4" x14ac:dyDescent="0.3"/>
  <cols>
    <col min="2" max="2" width="28" customWidth="1"/>
    <col min="3" max="3" width="18" customWidth="1"/>
  </cols>
  <sheetData>
    <row r="2" spans="2:3" x14ac:dyDescent="0.3">
      <c r="B2" s="1" t="s">
        <v>0</v>
      </c>
      <c r="C2">
        <v>377500</v>
      </c>
    </row>
    <row r="3" spans="2:3" x14ac:dyDescent="0.3">
      <c r="B3" s="1" t="s">
        <v>1</v>
      </c>
      <c r="C3" s="5">
        <f>C4/C2</f>
        <v>0.42384105960264901</v>
      </c>
    </row>
    <row r="4" spans="2:3" x14ac:dyDescent="0.3">
      <c r="B4" s="1" t="s">
        <v>2</v>
      </c>
      <c r="C4" s="6">
        <v>160000</v>
      </c>
    </row>
    <row r="5" spans="2:3" x14ac:dyDescent="0.3">
      <c r="B5" s="1" t="s">
        <v>3</v>
      </c>
      <c r="C5" s="6">
        <f>C2-C4</f>
        <v>217500</v>
      </c>
    </row>
    <row r="6" spans="2:3" x14ac:dyDescent="0.3">
      <c r="B6" s="1" t="s">
        <v>4</v>
      </c>
      <c r="C6" s="4">
        <v>8.0299999999999996E-2</v>
      </c>
    </row>
    <row r="7" spans="2:3" x14ac:dyDescent="0.3">
      <c r="B7" s="1" t="s">
        <v>5</v>
      </c>
      <c r="C7" s="2">
        <f>(1+C6)^(1/12)-1</f>
        <v>6.4573242284962085E-3</v>
      </c>
    </row>
    <row r="8" spans="2:3" x14ac:dyDescent="0.3">
      <c r="B8" s="1" t="s">
        <v>6</v>
      </c>
      <c r="C8" s="6">
        <v>240</v>
      </c>
    </row>
    <row r="9" spans="2:3" x14ac:dyDescent="0.3">
      <c r="B9" s="1" t="s">
        <v>7</v>
      </c>
      <c r="C9" s="3">
        <v>2.7999999999999998E-4</v>
      </c>
    </row>
    <row r="10" spans="2:3" x14ac:dyDescent="0.3">
      <c r="B10" s="1" t="s">
        <v>8</v>
      </c>
      <c r="C10" s="4">
        <v>3.3999999999999998E-3</v>
      </c>
    </row>
    <row r="11" spans="2:3" x14ac:dyDescent="0.3">
      <c r="B11" s="1" t="s">
        <v>9</v>
      </c>
      <c r="C11" s="5">
        <f>PMT(C7,C8,-C5)</f>
        <v>1785.400640245085</v>
      </c>
    </row>
    <row r="12" spans="2:3" x14ac:dyDescent="0.3">
      <c r="B12" s="1" t="s">
        <v>24</v>
      </c>
      <c r="C12" s="5">
        <f>C11 + (C5*C9) + (C2*C10/12)+C13</f>
        <v>1953.2589735784184</v>
      </c>
    </row>
    <row r="13" spans="2:3" x14ac:dyDescent="0.3">
      <c r="B13" s="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1"/>
  <sheetViews>
    <sheetView workbookViewId="0">
      <selection activeCell="F5" sqref="F5"/>
    </sheetView>
  </sheetViews>
  <sheetFormatPr baseColWidth="10" defaultColWidth="8.88671875" defaultRowHeight="14.4" x14ac:dyDescent="0.3"/>
  <cols>
    <col min="1" max="8" width="20" customWidth="1"/>
    <col min="11" max="11" width="9.5546875" bestFit="1" customWidth="1"/>
  </cols>
  <sheetData>
    <row r="1" spans="1:12" x14ac:dyDescent="0.3">
      <c r="A1" s="1" t="s">
        <v>11</v>
      </c>
      <c r="B1" s="1" t="s">
        <v>12</v>
      </c>
      <c r="C1" s="1" t="s">
        <v>9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12" x14ac:dyDescent="0.3">
      <c r="A2">
        <v>1</v>
      </c>
      <c r="B2" s="5">
        <f>Simulador!C5</f>
        <v>217500</v>
      </c>
      <c r="C2" s="5">
        <f>Simulador!C11</f>
        <v>1785.400640245085</v>
      </c>
      <c r="D2" s="5">
        <f>B2*Simulador!C7</f>
        <v>1404.4680196979252</v>
      </c>
      <c r="E2" s="5">
        <f t="shared" ref="E2:E65" si="0">C2-D2</f>
        <v>380.93262054715979</v>
      </c>
      <c r="F2" s="6">
        <v>2000</v>
      </c>
      <c r="G2" s="5">
        <f t="shared" ref="G2:G65" si="1">E2+F2</f>
        <v>2380.9326205471598</v>
      </c>
      <c r="H2" s="5">
        <f t="shared" ref="H2:H65" si="2">B2-G2</f>
        <v>215119.06737945284</v>
      </c>
    </row>
    <row r="3" spans="1:12" x14ac:dyDescent="0.3">
      <c r="A3">
        <v>2</v>
      </c>
      <c r="B3" s="5">
        <f t="shared" ref="B3:B66" si="3">H2</f>
        <v>215119.06737945284</v>
      </c>
      <c r="C3" s="5">
        <f>Simulador!C11</f>
        <v>1785.400640245085</v>
      </c>
      <c r="D3" s="5">
        <f>B3*Simulador!C7</f>
        <v>1389.0935658008491</v>
      </c>
      <c r="E3" s="5">
        <f t="shared" si="0"/>
        <v>396.30707444423592</v>
      </c>
      <c r="F3" s="6">
        <v>2000</v>
      </c>
      <c r="G3" s="5">
        <f t="shared" si="1"/>
        <v>2396.3070744442357</v>
      </c>
      <c r="H3" s="5">
        <f t="shared" si="2"/>
        <v>212722.76030500862</v>
      </c>
    </row>
    <row r="4" spans="1:12" x14ac:dyDescent="0.3">
      <c r="A4">
        <v>3</v>
      </c>
      <c r="B4" s="5">
        <f t="shared" si="3"/>
        <v>212722.76030500862</v>
      </c>
      <c r="C4" s="5">
        <f>Simulador!C11</f>
        <v>1785.400640245085</v>
      </c>
      <c r="D4" s="5">
        <f>B4*Simulador!C7</f>
        <v>1373.6198340701237</v>
      </c>
      <c r="E4" s="5">
        <f t="shared" si="0"/>
        <v>411.7808061749613</v>
      </c>
      <c r="F4" s="6">
        <v>2000</v>
      </c>
      <c r="G4" s="5">
        <f t="shared" si="1"/>
        <v>2411.7808061749611</v>
      </c>
      <c r="H4" s="5">
        <f t="shared" si="2"/>
        <v>210310.97949883365</v>
      </c>
    </row>
    <row r="5" spans="1:12" x14ac:dyDescent="0.3">
      <c r="A5">
        <v>4</v>
      </c>
      <c r="B5" s="5">
        <f t="shared" si="3"/>
        <v>210310.97949883365</v>
      </c>
      <c r="C5" s="5">
        <f>Simulador!C11</f>
        <v>1785.400640245085</v>
      </c>
      <c r="D5" s="5">
        <f>B5*Simulador!C7</f>
        <v>1358.0461834365879</v>
      </c>
      <c r="E5" s="5">
        <f t="shared" si="0"/>
        <v>427.35445680849716</v>
      </c>
      <c r="F5" s="6">
        <v>2000</v>
      </c>
      <c r="G5" s="5">
        <f t="shared" si="1"/>
        <v>2427.3544568084972</v>
      </c>
      <c r="H5" s="5">
        <f t="shared" si="2"/>
        <v>207883.62504202515</v>
      </c>
    </row>
    <row r="6" spans="1:12" x14ac:dyDescent="0.3">
      <c r="A6">
        <v>5</v>
      </c>
      <c r="B6" s="5">
        <f t="shared" si="3"/>
        <v>207883.62504202515</v>
      </c>
      <c r="C6" s="5">
        <f>Simulador!C11</f>
        <v>1785.400640245085</v>
      </c>
      <c r="D6" s="5">
        <f>B6*Simulador!C7</f>
        <v>1342.3719686914901</v>
      </c>
      <c r="E6" s="5">
        <f t="shared" si="0"/>
        <v>443.0286715535949</v>
      </c>
      <c r="F6" s="6">
        <v>2000</v>
      </c>
      <c r="G6" s="5">
        <f t="shared" si="1"/>
        <v>2443.0286715535949</v>
      </c>
      <c r="H6" s="5">
        <f t="shared" si="2"/>
        <v>205440.59637047155</v>
      </c>
    </row>
    <row r="7" spans="1:12" x14ac:dyDescent="0.3">
      <c r="A7">
        <v>6</v>
      </c>
      <c r="B7" s="5">
        <f t="shared" si="3"/>
        <v>205440.59637047155</v>
      </c>
      <c r="C7" s="5">
        <f>Simulador!C11</f>
        <v>1785.400640245085</v>
      </c>
      <c r="D7" s="5">
        <f>B7*Simulador!C7</f>
        <v>1326.5965404597562</v>
      </c>
      <c r="E7" s="5">
        <f t="shared" si="0"/>
        <v>458.80409978532884</v>
      </c>
      <c r="F7" s="6">
        <v>2000</v>
      </c>
      <c r="G7" s="5">
        <f t="shared" si="1"/>
        <v>2458.8040997853286</v>
      </c>
      <c r="H7" s="5">
        <f t="shared" si="2"/>
        <v>202981.79227068622</v>
      </c>
    </row>
    <row r="8" spans="1:12" x14ac:dyDescent="0.3">
      <c r="A8">
        <v>7</v>
      </c>
      <c r="B8" s="5">
        <f t="shared" si="3"/>
        <v>202981.79227068622</v>
      </c>
      <c r="C8" s="5">
        <f>Simulador!C11</f>
        <v>1785.400640245085</v>
      </c>
      <c r="D8" s="5">
        <f>B8*Simulador!C7</f>
        <v>1310.7192451730866</v>
      </c>
      <c r="E8" s="5">
        <f t="shared" si="0"/>
        <v>474.68139507199839</v>
      </c>
      <c r="F8" s="6">
        <v>2000</v>
      </c>
      <c r="G8" s="5">
        <f t="shared" si="1"/>
        <v>2474.6813950719984</v>
      </c>
      <c r="H8" s="5">
        <f t="shared" si="2"/>
        <v>200507.11087561422</v>
      </c>
      <c r="K8" s="6">
        <f>SUM(C2:C79)</f>
        <v>139261.24993911679</v>
      </c>
    </row>
    <row r="9" spans="1:12" x14ac:dyDescent="0.3">
      <c r="A9">
        <v>8</v>
      </c>
      <c r="B9" s="5">
        <f t="shared" si="3"/>
        <v>200507.11087561422</v>
      </c>
      <c r="C9" s="5">
        <f>Simulador!C11</f>
        <v>1785.400640245085</v>
      </c>
      <c r="D9" s="5">
        <f>B9*Simulador!C7</f>
        <v>1294.7394250428792</v>
      </c>
      <c r="E9" s="5">
        <f t="shared" si="0"/>
        <v>490.66121520220577</v>
      </c>
      <c r="F9" s="6">
        <v>2000</v>
      </c>
      <c r="G9" s="5">
        <f t="shared" si="1"/>
        <v>2490.6612152022058</v>
      </c>
      <c r="H9" s="5">
        <f t="shared" si="2"/>
        <v>198016.44966041201</v>
      </c>
      <c r="K9" s="6">
        <f>SUM(F2:F65)</f>
        <v>128000</v>
      </c>
      <c r="L9" s="6">
        <f>SUM(C2:C60)</f>
        <v>105338.63777446009</v>
      </c>
    </row>
    <row r="10" spans="1:12" x14ac:dyDescent="0.3">
      <c r="A10">
        <v>9</v>
      </c>
      <c r="B10" s="5">
        <f t="shared" si="3"/>
        <v>198016.44966041201</v>
      </c>
      <c r="C10" s="5">
        <f>Simulador!C11</f>
        <v>1785.400640245085</v>
      </c>
      <c r="D10" s="5">
        <f>B10*Simulador!C7</f>
        <v>1278.6564180329783</v>
      </c>
      <c r="E10" s="5">
        <f t="shared" si="0"/>
        <v>506.74422221210671</v>
      </c>
      <c r="F10" s="6">
        <v>2000</v>
      </c>
      <c r="G10" s="5">
        <f t="shared" si="1"/>
        <v>2506.7442222121067</v>
      </c>
      <c r="H10" s="5">
        <f t="shared" si="2"/>
        <v>195509.70543819989</v>
      </c>
      <c r="K10" s="5">
        <f>K8+K9</f>
        <v>267261.24993911677</v>
      </c>
    </row>
    <row r="11" spans="1:12" x14ac:dyDescent="0.3">
      <c r="A11">
        <v>10</v>
      </c>
      <c r="B11" s="5">
        <f t="shared" si="3"/>
        <v>195509.70543819989</v>
      </c>
      <c r="C11" s="5">
        <f>Simulador!C11</f>
        <v>1785.400640245085</v>
      </c>
      <c r="D11" s="5">
        <f>B11*Simulador!C7</f>
        <v>1262.4695578322451</v>
      </c>
      <c r="E11" s="5">
        <f t="shared" si="0"/>
        <v>522.93108241283994</v>
      </c>
      <c r="F11" s="6">
        <v>2000</v>
      </c>
      <c r="G11" s="5">
        <f t="shared" si="1"/>
        <v>2522.9310824128397</v>
      </c>
      <c r="H11" s="5">
        <f t="shared" si="2"/>
        <v>192986.77435578706</v>
      </c>
    </row>
    <row r="12" spans="1:12" x14ac:dyDescent="0.3">
      <c r="A12">
        <v>11</v>
      </c>
      <c r="B12" s="5">
        <f t="shared" si="3"/>
        <v>192986.77435578706</v>
      </c>
      <c r="C12" s="5">
        <f>Simulador!C11</f>
        <v>1785.400640245085</v>
      </c>
      <c r="D12" s="5">
        <f>B12*Simulador!C7</f>
        <v>1246.1781738269544</v>
      </c>
      <c r="E12" s="5">
        <f t="shared" si="0"/>
        <v>539.22246641813058</v>
      </c>
      <c r="F12" s="6">
        <v>2000</v>
      </c>
      <c r="G12" s="5">
        <f t="shared" si="1"/>
        <v>2539.2224664181304</v>
      </c>
      <c r="H12" s="5">
        <f t="shared" si="2"/>
        <v>190447.55188936891</v>
      </c>
    </row>
    <row r="13" spans="1:12" x14ac:dyDescent="0.3">
      <c r="A13">
        <v>12</v>
      </c>
      <c r="B13" s="5">
        <f t="shared" si="3"/>
        <v>190447.55188936891</v>
      </c>
      <c r="C13" s="5">
        <f>Simulador!C11</f>
        <v>1785.400640245085</v>
      </c>
      <c r="D13" s="5">
        <f>B13*Simulador!C7</f>
        <v>1229.7815910730108</v>
      </c>
      <c r="E13" s="5">
        <f t="shared" si="0"/>
        <v>555.61904917207426</v>
      </c>
      <c r="F13" s="6">
        <v>2000</v>
      </c>
      <c r="G13" s="5">
        <f t="shared" si="1"/>
        <v>2555.6190491720745</v>
      </c>
      <c r="H13" s="5">
        <f t="shared" si="2"/>
        <v>187891.93284019685</v>
      </c>
      <c r="K13">
        <f>314/80</f>
        <v>3.9249999999999998</v>
      </c>
    </row>
    <row r="14" spans="1:12" x14ac:dyDescent="0.3">
      <c r="A14">
        <v>13</v>
      </c>
      <c r="B14" s="5">
        <f t="shared" si="3"/>
        <v>187891.93284019685</v>
      </c>
      <c r="C14" s="5">
        <f>Simulador!C11</f>
        <v>1785.400640245085</v>
      </c>
      <c r="D14" s="5">
        <f>B14*Simulador!C7</f>
        <v>1213.2791302679855</v>
      </c>
      <c r="E14" s="5">
        <f t="shared" si="0"/>
        <v>572.12150997709955</v>
      </c>
      <c r="F14" s="6">
        <v>2000</v>
      </c>
      <c r="G14" s="5">
        <f t="shared" si="1"/>
        <v>2572.1215099770998</v>
      </c>
      <c r="H14" s="5">
        <f t="shared" si="2"/>
        <v>185319.81133021976</v>
      </c>
    </row>
    <row r="15" spans="1:12" x14ac:dyDescent="0.3">
      <c r="A15">
        <v>14</v>
      </c>
      <c r="B15" s="5">
        <f t="shared" si="3"/>
        <v>185319.81133021976</v>
      </c>
      <c r="C15" s="5">
        <f>Simulador!C11</f>
        <v>1785.400640245085</v>
      </c>
      <c r="D15" s="5">
        <f>B15*Simulador!C7</f>
        <v>1196.6701077229743</v>
      </c>
      <c r="E15" s="5">
        <f t="shared" si="0"/>
        <v>588.73053252211071</v>
      </c>
      <c r="F15" s="6">
        <v>2000</v>
      </c>
      <c r="G15" s="5">
        <f t="shared" si="1"/>
        <v>2588.7305325221105</v>
      </c>
      <c r="H15" s="5">
        <f t="shared" si="2"/>
        <v>182731.08079769765</v>
      </c>
    </row>
    <row r="16" spans="1:12" x14ac:dyDescent="0.3">
      <c r="A16">
        <v>15</v>
      </c>
      <c r="B16" s="5">
        <f t="shared" si="3"/>
        <v>182731.08079769765</v>
      </c>
      <c r="C16" s="5">
        <f>Simulador!C11</f>
        <v>1785.400640245085</v>
      </c>
      <c r="D16" s="5">
        <f>B16*Simulador!C7</f>
        <v>1179.9538353342714</v>
      </c>
      <c r="E16" s="5">
        <f t="shared" si="0"/>
        <v>605.44680491081363</v>
      </c>
      <c r="F16" s="6">
        <v>2000</v>
      </c>
      <c r="G16" s="5">
        <f t="shared" si="1"/>
        <v>2605.4468049108136</v>
      </c>
      <c r="H16" s="5">
        <f t="shared" si="2"/>
        <v>180125.63399278684</v>
      </c>
    </row>
    <row r="17" spans="1:8" x14ac:dyDescent="0.3">
      <c r="A17">
        <v>16</v>
      </c>
      <c r="B17" s="5">
        <f t="shared" si="3"/>
        <v>180125.63399278684</v>
      </c>
      <c r="C17" s="5">
        <f>Simulador!C11</f>
        <v>1785.400640245085</v>
      </c>
      <c r="D17" s="5">
        <f>B17*Simulador!C7</f>
        <v>1163.1296205548626</v>
      </c>
      <c r="E17" s="5">
        <f t="shared" si="0"/>
        <v>622.27101969022237</v>
      </c>
      <c r="F17" s="6">
        <v>2000</v>
      </c>
      <c r="G17" s="5">
        <f t="shared" si="1"/>
        <v>2622.2710196902226</v>
      </c>
      <c r="H17" s="5">
        <f t="shared" si="2"/>
        <v>177503.36297309661</v>
      </c>
    </row>
    <row r="18" spans="1:8" x14ac:dyDescent="0.3">
      <c r="A18">
        <v>17</v>
      </c>
      <c r="B18" s="5">
        <f t="shared" si="3"/>
        <v>177503.36297309661</v>
      </c>
      <c r="C18" s="5">
        <f>Simulador!C11</f>
        <v>1785.400640245085</v>
      </c>
      <c r="D18" s="5">
        <f>B18*Simulador!C7</f>
        <v>1146.1967663657335</v>
      </c>
      <c r="E18" s="5">
        <f t="shared" si="0"/>
        <v>639.20387387935148</v>
      </c>
      <c r="F18" s="6">
        <v>2000</v>
      </c>
      <c r="G18" s="5">
        <f t="shared" si="1"/>
        <v>2639.2038738793517</v>
      </c>
      <c r="H18" s="5">
        <f t="shared" si="2"/>
        <v>174864.15909921724</v>
      </c>
    </row>
    <row r="19" spans="1:8" x14ac:dyDescent="0.3">
      <c r="A19">
        <v>18</v>
      </c>
      <c r="B19" s="5">
        <f t="shared" si="3"/>
        <v>174864.15909921724</v>
      </c>
      <c r="C19" s="5">
        <f>Simulador!C11</f>
        <v>1785.400640245085</v>
      </c>
      <c r="D19" s="5">
        <f>B19*Simulador!C7</f>
        <v>1129.1545712469913</v>
      </c>
      <c r="E19" s="5">
        <f t="shared" si="0"/>
        <v>656.24606899809373</v>
      </c>
      <c r="F19" s="6">
        <v>2000</v>
      </c>
      <c r="G19" s="5">
        <f t="shared" si="1"/>
        <v>2656.2460689980935</v>
      </c>
      <c r="H19" s="5">
        <f t="shared" si="2"/>
        <v>172207.91303021915</v>
      </c>
    </row>
    <row r="20" spans="1:8" x14ac:dyDescent="0.3">
      <c r="A20">
        <v>19</v>
      </c>
      <c r="B20" s="5">
        <f t="shared" si="3"/>
        <v>172207.91303021915</v>
      </c>
      <c r="C20" s="5">
        <f>Simulador!C11</f>
        <v>1785.400640245085</v>
      </c>
      <c r="D20" s="5">
        <f>B20*Simulador!C7</f>
        <v>1112.0023291488021</v>
      </c>
      <c r="E20" s="5">
        <f t="shared" si="0"/>
        <v>673.3983110962829</v>
      </c>
      <c r="F20" s="6">
        <v>2000</v>
      </c>
      <c r="G20" s="5">
        <f t="shared" si="1"/>
        <v>2673.3983110962827</v>
      </c>
      <c r="H20" s="5">
        <f t="shared" si="2"/>
        <v>169534.51471912288</v>
      </c>
    </row>
    <row r="21" spans="1:8" x14ac:dyDescent="0.3">
      <c r="A21">
        <v>20</v>
      </c>
      <c r="B21" s="5">
        <f t="shared" si="3"/>
        <v>169534.51471912288</v>
      </c>
      <c r="C21" s="5">
        <f>Simulador!C11</f>
        <v>1785.400640245085</v>
      </c>
      <c r="D21" s="5">
        <f>B21*Simulador!C7</f>
        <v>1094.7393294621393</v>
      </c>
      <c r="E21" s="5">
        <f t="shared" si="0"/>
        <v>690.66131078294575</v>
      </c>
      <c r="F21" s="6">
        <v>2000</v>
      </c>
      <c r="G21" s="5">
        <f t="shared" si="1"/>
        <v>2690.6613107829457</v>
      </c>
      <c r="H21" s="5">
        <f t="shared" si="2"/>
        <v>166843.85340833993</v>
      </c>
    </row>
    <row r="22" spans="1:8" x14ac:dyDescent="0.3">
      <c r="A22">
        <v>21</v>
      </c>
      <c r="B22" s="5">
        <f t="shared" si="3"/>
        <v>166843.85340833993</v>
      </c>
      <c r="C22" s="5">
        <f>Simulador!C11</f>
        <v>1785.400640245085</v>
      </c>
      <c r="D22" s="5">
        <f>B22*Simulador!C7</f>
        <v>1077.364856989343</v>
      </c>
      <c r="E22" s="5">
        <f t="shared" si="0"/>
        <v>708.03578325574199</v>
      </c>
      <c r="F22" s="6">
        <v>2000</v>
      </c>
      <c r="G22" s="5">
        <f t="shared" si="1"/>
        <v>2708.035783255742</v>
      </c>
      <c r="H22" s="5">
        <f t="shared" si="2"/>
        <v>164135.81762508419</v>
      </c>
    </row>
    <row r="23" spans="1:8" x14ac:dyDescent="0.3">
      <c r="A23">
        <v>22</v>
      </c>
      <c r="B23" s="5">
        <f t="shared" si="3"/>
        <v>164135.81762508419</v>
      </c>
      <c r="C23" s="5">
        <f>Simulador!C11</f>
        <v>1785.400640245085</v>
      </c>
      <c r="D23" s="5">
        <f>B23*Simulador!C7</f>
        <v>1059.8781919144913</v>
      </c>
      <c r="E23" s="5">
        <f t="shared" si="0"/>
        <v>725.52244833059376</v>
      </c>
      <c r="F23" s="6">
        <v>2000</v>
      </c>
      <c r="G23" s="5">
        <f t="shared" si="1"/>
        <v>2725.5224483305938</v>
      </c>
      <c r="H23" s="5">
        <f t="shared" si="2"/>
        <v>161410.2951767536</v>
      </c>
    </row>
    <row r="24" spans="1:8" x14ac:dyDescent="0.3">
      <c r="A24">
        <v>23</v>
      </c>
      <c r="B24" s="5">
        <f t="shared" si="3"/>
        <v>161410.2951767536</v>
      </c>
      <c r="C24" s="5">
        <f>Simulador!C11</f>
        <v>1785.400640245085</v>
      </c>
      <c r="D24" s="5">
        <f>B24*Simulador!C7</f>
        <v>1042.2786097735757</v>
      </c>
      <c r="E24" s="5">
        <f t="shared" si="0"/>
        <v>743.12203047150933</v>
      </c>
      <c r="F24" s="6">
        <v>2000</v>
      </c>
      <c r="G24" s="5">
        <f t="shared" si="1"/>
        <v>2743.1220304715093</v>
      </c>
      <c r="H24" s="5">
        <f t="shared" si="2"/>
        <v>158667.17314628209</v>
      </c>
    </row>
    <row r="25" spans="1:8" x14ac:dyDescent="0.3">
      <c r="A25">
        <v>24</v>
      </c>
      <c r="B25" s="5">
        <f t="shared" si="3"/>
        <v>158667.17314628209</v>
      </c>
      <c r="C25" s="5">
        <f>Simulador!C11</f>
        <v>1785.400640245085</v>
      </c>
      <c r="D25" s="5">
        <f>B25*Simulador!C7</f>
        <v>1024.5653814244904</v>
      </c>
      <c r="E25" s="5">
        <f t="shared" si="0"/>
        <v>760.83525882059462</v>
      </c>
      <c r="F25" s="6">
        <v>2000</v>
      </c>
      <c r="G25" s="5">
        <f t="shared" si="1"/>
        <v>2760.8352588205944</v>
      </c>
      <c r="H25" s="5">
        <f t="shared" si="2"/>
        <v>155906.3378874615</v>
      </c>
    </row>
    <row r="26" spans="1:8" x14ac:dyDescent="0.3">
      <c r="A26">
        <v>25</v>
      </c>
      <c r="B26" s="5">
        <f t="shared" si="3"/>
        <v>155906.3378874615</v>
      </c>
      <c r="C26" s="5">
        <f>Simulador!C11</f>
        <v>1785.400640245085</v>
      </c>
      <c r="D26" s="5">
        <f>B26*Simulador!C7</f>
        <v>1006.7377730168215</v>
      </c>
      <c r="E26" s="5">
        <f t="shared" si="0"/>
        <v>778.66286722826351</v>
      </c>
      <c r="F26" s="6">
        <v>2000</v>
      </c>
      <c r="G26" s="5">
        <f t="shared" si="1"/>
        <v>2778.6628672282636</v>
      </c>
      <c r="H26" s="5">
        <f t="shared" si="2"/>
        <v>153127.67502023323</v>
      </c>
    </row>
    <row r="27" spans="1:8" x14ac:dyDescent="0.3">
      <c r="A27">
        <v>26</v>
      </c>
      <c r="B27" s="5">
        <f t="shared" si="3"/>
        <v>153127.67502023323</v>
      </c>
      <c r="C27" s="5">
        <f>Simulador!C11</f>
        <v>1785.400640245085</v>
      </c>
      <c r="D27" s="5">
        <f>B27*Simulador!C7</f>
        <v>988.79504596144568</v>
      </c>
      <c r="E27" s="5">
        <f t="shared" si="0"/>
        <v>796.60559428363933</v>
      </c>
      <c r="F27" s="6">
        <v>2000</v>
      </c>
      <c r="G27" s="5">
        <f t="shared" si="1"/>
        <v>2796.6055942836392</v>
      </c>
      <c r="H27" s="5">
        <f t="shared" si="2"/>
        <v>150331.06942594959</v>
      </c>
    </row>
    <row r="28" spans="1:8" x14ac:dyDescent="0.3">
      <c r="A28">
        <v>27</v>
      </c>
      <c r="B28" s="5">
        <f t="shared" si="3"/>
        <v>150331.06942594959</v>
      </c>
      <c r="C28" s="5">
        <f>Simulador!C11</f>
        <v>1785.400640245085</v>
      </c>
      <c r="D28" s="5">
        <f>B28*Simulador!C7</f>
        <v>970.73645689992986</v>
      </c>
      <c r="E28" s="5">
        <f t="shared" si="0"/>
        <v>814.66418334515515</v>
      </c>
      <c r="F28" s="6">
        <v>2000</v>
      </c>
      <c r="G28" s="5">
        <f t="shared" si="1"/>
        <v>2814.6641833451549</v>
      </c>
      <c r="H28" s="5">
        <f t="shared" si="2"/>
        <v>147516.40524260444</v>
      </c>
    </row>
    <row r="29" spans="1:8" x14ac:dyDescent="0.3">
      <c r="A29">
        <v>28</v>
      </c>
      <c r="B29" s="5">
        <f t="shared" si="3"/>
        <v>147516.40524260444</v>
      </c>
      <c r="C29" s="5">
        <f>Simulador!C11</f>
        <v>1785.400640245085</v>
      </c>
      <c r="D29" s="5">
        <f>B29*Simulador!C7</f>
        <v>952.56125767373476</v>
      </c>
      <c r="E29" s="5">
        <f t="shared" si="0"/>
        <v>832.83938257135026</v>
      </c>
      <c r="F29" s="6">
        <v>2000</v>
      </c>
      <c r="G29" s="5">
        <f t="shared" si="1"/>
        <v>2832.8393825713501</v>
      </c>
      <c r="H29" s="5">
        <f t="shared" si="2"/>
        <v>144683.56586003309</v>
      </c>
    </row>
    <row r="30" spans="1:8" x14ac:dyDescent="0.3">
      <c r="A30">
        <v>29</v>
      </c>
      <c r="B30" s="5">
        <f t="shared" si="3"/>
        <v>144683.56586003309</v>
      </c>
      <c r="C30" s="5">
        <f>Simulador!C11</f>
        <v>1785.400640245085</v>
      </c>
      <c r="D30" s="5">
        <f>B30*Simulador!C7</f>
        <v>934.26869529321857</v>
      </c>
      <c r="E30" s="5">
        <f t="shared" si="0"/>
        <v>851.13194495186644</v>
      </c>
      <c r="F30" s="6">
        <v>2000</v>
      </c>
      <c r="G30" s="5">
        <f t="shared" si="1"/>
        <v>2851.1319449518664</v>
      </c>
      <c r="H30" s="5">
        <f t="shared" si="2"/>
        <v>141832.43391508123</v>
      </c>
    </row>
    <row r="31" spans="1:8" x14ac:dyDescent="0.3">
      <c r="A31">
        <v>30</v>
      </c>
      <c r="B31" s="5">
        <f t="shared" si="3"/>
        <v>141832.43391508123</v>
      </c>
      <c r="C31" s="5">
        <f>Simulador!C11</f>
        <v>1785.400640245085</v>
      </c>
      <c r="D31" s="5">
        <f>B31*Simulador!C7</f>
        <v>915.85801190644133</v>
      </c>
      <c r="E31" s="5">
        <f t="shared" si="0"/>
        <v>869.54262833864368</v>
      </c>
      <c r="F31" s="6">
        <v>2000</v>
      </c>
      <c r="G31" s="5">
        <f t="shared" si="1"/>
        <v>2869.5426283386437</v>
      </c>
      <c r="H31" s="5">
        <f t="shared" si="2"/>
        <v>138962.89128674258</v>
      </c>
    </row>
    <row r="32" spans="1:8" x14ac:dyDescent="0.3">
      <c r="A32">
        <v>31</v>
      </c>
      <c r="B32" s="5">
        <f t="shared" si="3"/>
        <v>138962.89128674258</v>
      </c>
      <c r="C32" s="5">
        <f>Simulador!C11</f>
        <v>1785.400640245085</v>
      </c>
      <c r="D32" s="5">
        <f>B32*Simulador!C7</f>
        <v>897.32844476776756</v>
      </c>
      <c r="E32" s="5">
        <f t="shared" si="0"/>
        <v>888.07219547731745</v>
      </c>
      <c r="F32" s="6">
        <v>2000</v>
      </c>
      <c r="G32" s="5">
        <f t="shared" si="1"/>
        <v>2888.0721954773176</v>
      </c>
      <c r="H32" s="5">
        <f t="shared" si="2"/>
        <v>136074.81909126526</v>
      </c>
    </row>
    <row r="33" spans="1:8" x14ac:dyDescent="0.3">
      <c r="A33">
        <v>32</v>
      </c>
      <c r="B33" s="5">
        <f t="shared" si="3"/>
        <v>136074.81909126526</v>
      </c>
      <c r="C33" s="5">
        <f>Simulador!C11</f>
        <v>1785.400640245085</v>
      </c>
      <c r="D33" s="5">
        <f>B33*Simulador!C7</f>
        <v>878.67922620626564</v>
      </c>
      <c r="E33" s="5">
        <f t="shared" si="0"/>
        <v>906.72141403881938</v>
      </c>
      <c r="F33" s="6">
        <v>2000</v>
      </c>
      <c r="G33" s="5">
        <f t="shared" si="1"/>
        <v>2906.7214140388196</v>
      </c>
      <c r="H33" s="5">
        <f t="shared" si="2"/>
        <v>133168.09767722644</v>
      </c>
    </row>
    <row r="34" spans="1:8" x14ac:dyDescent="0.3">
      <c r="A34">
        <v>33</v>
      </c>
      <c r="B34" s="5">
        <f t="shared" si="3"/>
        <v>133168.09767722644</v>
      </c>
      <c r="C34" s="5">
        <f>Simulador!C11</f>
        <v>1785.400640245085</v>
      </c>
      <c r="D34" s="5">
        <f>B34*Simulador!C7</f>
        <v>859.9095835939039</v>
      </c>
      <c r="E34" s="5">
        <f t="shared" si="0"/>
        <v>925.49105665118111</v>
      </c>
      <c r="F34" s="6">
        <v>2000</v>
      </c>
      <c r="G34" s="5">
        <f t="shared" si="1"/>
        <v>2925.4910566511812</v>
      </c>
      <c r="H34" s="5">
        <f t="shared" si="2"/>
        <v>130242.60662057526</v>
      </c>
    </row>
    <row r="35" spans="1:8" x14ac:dyDescent="0.3">
      <c r="A35">
        <v>34</v>
      </c>
      <c r="B35" s="5">
        <f t="shared" si="3"/>
        <v>130242.60662057526</v>
      </c>
      <c r="C35" s="5">
        <f>Simulador!C11</f>
        <v>1785.400640245085</v>
      </c>
      <c r="D35" s="5">
        <f>B35*Simulador!C7</f>
        <v>841.01873931354135</v>
      </c>
      <c r="E35" s="5">
        <f t="shared" si="0"/>
        <v>944.38190093154367</v>
      </c>
      <c r="F35" s="6">
        <v>2000</v>
      </c>
      <c r="G35" s="5">
        <f t="shared" si="1"/>
        <v>2944.3819009315439</v>
      </c>
      <c r="H35" s="5">
        <f t="shared" si="2"/>
        <v>127298.22471964371</v>
      </c>
    </row>
    <row r="36" spans="1:8" x14ac:dyDescent="0.3">
      <c r="A36">
        <v>35</v>
      </c>
      <c r="B36" s="5">
        <f t="shared" si="3"/>
        <v>127298.22471964371</v>
      </c>
      <c r="C36" s="5">
        <f>Simulador!C11</f>
        <v>1785.400640245085</v>
      </c>
      <c r="D36" s="5">
        <f>B36*Simulador!C7</f>
        <v>822.00591072671034</v>
      </c>
      <c r="E36" s="5">
        <f t="shared" si="0"/>
        <v>963.39472951837467</v>
      </c>
      <c r="F36" s="6">
        <v>2000</v>
      </c>
      <c r="G36" s="5">
        <f t="shared" si="1"/>
        <v>2963.3947295183748</v>
      </c>
      <c r="H36" s="5">
        <f t="shared" si="2"/>
        <v>124334.82999012533</v>
      </c>
    </row>
    <row r="37" spans="1:8" x14ac:dyDescent="0.3">
      <c r="A37">
        <v>36</v>
      </c>
      <c r="B37" s="5">
        <f t="shared" si="3"/>
        <v>124334.82999012533</v>
      </c>
      <c r="C37" s="5">
        <f>Simulador!C11</f>
        <v>1785.400640245085</v>
      </c>
      <c r="D37" s="5">
        <f>B37*Simulador!C7</f>
        <v>802.87031014119327</v>
      </c>
      <c r="E37" s="5">
        <f t="shared" si="0"/>
        <v>982.53033010389174</v>
      </c>
      <c r="F37" s="6">
        <v>2000</v>
      </c>
      <c r="G37" s="5">
        <f t="shared" si="1"/>
        <v>2982.5303301038916</v>
      </c>
      <c r="H37" s="5">
        <f t="shared" si="2"/>
        <v>121352.29966002144</v>
      </c>
    </row>
    <row r="38" spans="1:8" x14ac:dyDescent="0.3">
      <c r="A38">
        <v>37</v>
      </c>
      <c r="B38" s="5">
        <f t="shared" si="3"/>
        <v>121352.29966002144</v>
      </c>
      <c r="C38" s="5">
        <f>Simulador!C11</f>
        <v>1785.400640245085</v>
      </c>
      <c r="D38" s="5">
        <f>B38*Simulador!C7</f>
        <v>783.61114477838862</v>
      </c>
      <c r="E38" s="5">
        <f t="shared" si="0"/>
        <v>1001.7894954666964</v>
      </c>
      <c r="F38" s="6">
        <v>2000</v>
      </c>
      <c r="G38" s="5">
        <f t="shared" si="1"/>
        <v>3001.7894954666963</v>
      </c>
      <c r="H38" s="5">
        <f t="shared" si="2"/>
        <v>118350.51016455474</v>
      </c>
    </row>
    <row r="39" spans="1:8" x14ac:dyDescent="0.3">
      <c r="A39">
        <v>38</v>
      </c>
      <c r="B39" s="5">
        <f t="shared" si="3"/>
        <v>118350.51016455474</v>
      </c>
      <c r="C39" s="5">
        <f>Simulador!C11</f>
        <v>1785.400640245085</v>
      </c>
      <c r="D39" s="5">
        <f>B39*Simulador!C7</f>
        <v>764.22761674046615</v>
      </c>
      <c r="E39" s="5">
        <f t="shared" si="0"/>
        <v>1021.1730235046189</v>
      </c>
      <c r="F39" s="6">
        <v>2000</v>
      </c>
      <c r="G39" s="5">
        <f t="shared" si="1"/>
        <v>3021.1730235046189</v>
      </c>
      <c r="H39" s="5">
        <f t="shared" si="2"/>
        <v>115329.33714105013</v>
      </c>
    </row>
    <row r="40" spans="1:8" x14ac:dyDescent="0.3">
      <c r="A40">
        <v>39</v>
      </c>
      <c r="B40" s="5">
        <f t="shared" si="3"/>
        <v>115329.33714105013</v>
      </c>
      <c r="C40" s="5">
        <f>Simulador!C11</f>
        <v>1785.400640245085</v>
      </c>
      <c r="D40" s="5">
        <f>B40*Simulador!C7</f>
        <v>744.71892297731063</v>
      </c>
      <c r="E40" s="5">
        <f t="shared" si="0"/>
        <v>1040.6817172677743</v>
      </c>
      <c r="F40" s="6">
        <v>2000</v>
      </c>
      <c r="G40" s="5">
        <f t="shared" si="1"/>
        <v>3040.6817172677743</v>
      </c>
      <c r="H40" s="5">
        <f t="shared" si="2"/>
        <v>112288.65542378236</v>
      </c>
    </row>
    <row r="41" spans="1:8" x14ac:dyDescent="0.3">
      <c r="A41">
        <v>40</v>
      </c>
      <c r="B41" s="5">
        <f t="shared" si="3"/>
        <v>112288.65542378236</v>
      </c>
      <c r="C41" s="5">
        <f>Simulador!C11</f>
        <v>1785.400640245085</v>
      </c>
      <c r="D41" s="5">
        <f>B41*Simulador!C7</f>
        <v>725.08425525325197</v>
      </c>
      <c r="E41" s="5">
        <f t="shared" si="0"/>
        <v>1060.316384991833</v>
      </c>
      <c r="F41" s="6">
        <v>2000</v>
      </c>
      <c r="G41" s="5">
        <f t="shared" si="1"/>
        <v>3060.3163849918328</v>
      </c>
      <c r="H41" s="5">
        <f t="shared" si="2"/>
        <v>109228.33903879052</v>
      </c>
    </row>
    <row r="42" spans="1:8" x14ac:dyDescent="0.3">
      <c r="A42">
        <v>41</v>
      </c>
      <c r="B42" s="5">
        <f t="shared" si="3"/>
        <v>109228.33903879052</v>
      </c>
      <c r="C42" s="5">
        <f>Simulador!C11</f>
        <v>1785.400640245085</v>
      </c>
      <c r="D42" s="5">
        <f>B42*Simulador!C7</f>
        <v>705.32280011358034</v>
      </c>
      <c r="E42" s="5">
        <f t="shared" si="0"/>
        <v>1080.0778401315047</v>
      </c>
      <c r="F42" s="6">
        <v>2000</v>
      </c>
      <c r="G42" s="5">
        <f t="shared" si="1"/>
        <v>3080.0778401315047</v>
      </c>
      <c r="H42" s="5">
        <f t="shared" si="2"/>
        <v>106148.26119865902</v>
      </c>
    </row>
    <row r="43" spans="1:8" x14ac:dyDescent="0.3">
      <c r="A43">
        <v>42</v>
      </c>
      <c r="B43" s="5">
        <f t="shared" si="3"/>
        <v>106148.26119865902</v>
      </c>
      <c r="C43" s="5">
        <f>Simulador!C11</f>
        <v>1785.400640245085</v>
      </c>
      <c r="D43" s="5">
        <f>B43*Simulador!C7</f>
        <v>685.43373885084486</v>
      </c>
      <c r="E43" s="5">
        <f t="shared" si="0"/>
        <v>1099.9669013942403</v>
      </c>
      <c r="F43" s="6">
        <v>2000</v>
      </c>
      <c r="G43" s="5">
        <f t="shared" si="1"/>
        <v>3099.9669013942403</v>
      </c>
      <c r="H43" s="5">
        <f t="shared" si="2"/>
        <v>103048.29429726477</v>
      </c>
    </row>
    <row r="44" spans="1:8" x14ac:dyDescent="0.3">
      <c r="A44">
        <v>43</v>
      </c>
      <c r="B44" s="5">
        <f t="shared" si="3"/>
        <v>103048.29429726477</v>
      </c>
      <c r="C44" s="5">
        <f>Simulador!C11</f>
        <v>1785.400640245085</v>
      </c>
      <c r="D44" s="5">
        <f>B44*Simulador!C7</f>
        <v>665.41624747093545</v>
      </c>
      <c r="E44" s="5">
        <f t="shared" si="0"/>
        <v>1119.9843927741495</v>
      </c>
      <c r="F44" s="6">
        <v>2000</v>
      </c>
      <c r="G44" s="5">
        <f t="shared" si="1"/>
        <v>3119.9843927741495</v>
      </c>
      <c r="H44" s="5">
        <f t="shared" si="2"/>
        <v>99928.309904490627</v>
      </c>
    </row>
    <row r="45" spans="1:8" x14ac:dyDescent="0.3">
      <c r="A45">
        <v>44</v>
      </c>
      <c r="B45" s="5">
        <f t="shared" si="3"/>
        <v>99928.309904490627</v>
      </c>
      <c r="C45" s="5">
        <f>Simulador!C11</f>
        <v>1785.400640245085</v>
      </c>
      <c r="D45" s="5">
        <f>B45*Simulador!C7</f>
        <v>645.26949665894495</v>
      </c>
      <c r="E45" s="5">
        <f t="shared" si="0"/>
        <v>1140.1311435861401</v>
      </c>
      <c r="F45" s="6">
        <v>2000</v>
      </c>
      <c r="G45" s="5">
        <f t="shared" si="1"/>
        <v>3140.1311435861398</v>
      </c>
      <c r="H45" s="5">
        <f t="shared" si="2"/>
        <v>96788.178760904484</v>
      </c>
    </row>
    <row r="46" spans="1:8" x14ac:dyDescent="0.3">
      <c r="A46">
        <v>45</v>
      </c>
      <c r="B46" s="5">
        <f t="shared" si="3"/>
        <v>96788.178760904484</v>
      </c>
      <c r="C46" s="5">
        <f>Simulador!C11</f>
        <v>1785.400640245085</v>
      </c>
      <c r="D46" s="5">
        <f>B46*Simulador!C7</f>
        <v>624.9926517448107</v>
      </c>
      <c r="E46" s="5">
        <f t="shared" si="0"/>
        <v>1160.4079885002743</v>
      </c>
      <c r="F46" s="6">
        <v>2000</v>
      </c>
      <c r="G46" s="5">
        <f t="shared" si="1"/>
        <v>3160.4079885002743</v>
      </c>
      <c r="H46" s="5">
        <f t="shared" si="2"/>
        <v>93627.770772404212</v>
      </c>
    </row>
    <row r="47" spans="1:8" x14ac:dyDescent="0.3">
      <c r="A47">
        <v>46</v>
      </c>
      <c r="B47" s="5">
        <f t="shared" si="3"/>
        <v>93627.770772404212</v>
      </c>
      <c r="C47" s="5">
        <f>Simulador!C11</f>
        <v>1785.400640245085</v>
      </c>
      <c r="D47" s="5">
        <f>B47*Simulador!C7</f>
        <v>604.58487266873487</v>
      </c>
      <c r="E47" s="5">
        <f t="shared" si="0"/>
        <v>1180.81576757635</v>
      </c>
      <c r="F47" s="6">
        <v>2000</v>
      </c>
      <c r="G47" s="5">
        <f t="shared" si="1"/>
        <v>3180.81576757635</v>
      </c>
      <c r="H47" s="5">
        <f t="shared" si="2"/>
        <v>90446.955004827862</v>
      </c>
    </row>
    <row r="48" spans="1:8" x14ac:dyDescent="0.3">
      <c r="A48">
        <v>47</v>
      </c>
      <c r="B48" s="5">
        <f t="shared" si="3"/>
        <v>90446.955004827862</v>
      </c>
      <c r="C48" s="5">
        <f>Simulador!C11</f>
        <v>1785.400640245085</v>
      </c>
      <c r="D48" s="5">
        <f>B48*Simulador!C7</f>
        <v>584.04531394638138</v>
      </c>
      <c r="E48" s="5">
        <f t="shared" si="0"/>
        <v>1201.3553262987036</v>
      </c>
      <c r="F48" s="6">
        <v>2000</v>
      </c>
      <c r="G48" s="5">
        <f t="shared" si="1"/>
        <v>3201.3553262987034</v>
      </c>
      <c r="H48" s="5">
        <f t="shared" si="2"/>
        <v>87245.599678529165</v>
      </c>
    </row>
    <row r="49" spans="1:8" x14ac:dyDescent="0.3">
      <c r="A49">
        <v>48</v>
      </c>
      <c r="B49" s="5">
        <f t="shared" si="3"/>
        <v>87245.599678529165</v>
      </c>
      <c r="C49" s="5">
        <f>Simulador!C11</f>
        <v>1785.400640245085</v>
      </c>
      <c r="D49" s="5">
        <f>B49*Simulador!C7</f>
        <v>563.3731246338474</v>
      </c>
      <c r="E49" s="5">
        <f t="shared" si="0"/>
        <v>1222.0275156112375</v>
      </c>
      <c r="F49" s="6">
        <v>2000</v>
      </c>
      <c r="G49" s="5">
        <f t="shared" si="1"/>
        <v>3222.0275156112375</v>
      </c>
      <c r="H49" s="5">
        <f t="shared" si="2"/>
        <v>84023.572162917932</v>
      </c>
    </row>
    <row r="50" spans="1:8" x14ac:dyDescent="0.3">
      <c r="A50">
        <v>49</v>
      </c>
      <c r="B50" s="5">
        <f t="shared" si="3"/>
        <v>84023.572162917932</v>
      </c>
      <c r="C50" s="5">
        <f>Simulador!C11</f>
        <v>1785.400640245085</v>
      </c>
      <c r="D50" s="5">
        <f>B50*Simulador!C7</f>
        <v>542.56744829240949</v>
      </c>
      <c r="E50" s="5">
        <f t="shared" si="0"/>
        <v>1242.8331919526754</v>
      </c>
      <c r="F50" s="6">
        <v>2000</v>
      </c>
      <c r="G50" s="5">
        <f t="shared" si="1"/>
        <v>3242.8331919526754</v>
      </c>
      <c r="H50" s="5">
        <f t="shared" si="2"/>
        <v>80780.738970965263</v>
      </c>
    </row>
    <row r="51" spans="1:8" x14ac:dyDescent="0.3">
      <c r="A51">
        <v>50</v>
      </c>
      <c r="B51" s="5">
        <f t="shared" si="3"/>
        <v>80780.738970965263</v>
      </c>
      <c r="C51" s="5">
        <f>Simulador!C11</f>
        <v>1785.400640245085</v>
      </c>
      <c r="D51" s="5">
        <f>B51*Simulador!C7</f>
        <v>521.6274229530419</v>
      </c>
      <c r="E51" s="5">
        <f t="shared" si="0"/>
        <v>1263.7732172920432</v>
      </c>
      <c r="F51" s="6">
        <v>2000</v>
      </c>
      <c r="G51" s="5">
        <f t="shared" si="1"/>
        <v>3263.7732172920432</v>
      </c>
      <c r="H51" s="5">
        <f t="shared" si="2"/>
        <v>77516.965753673227</v>
      </c>
    </row>
    <row r="52" spans="1:8" x14ac:dyDescent="0.3">
      <c r="A52">
        <v>51</v>
      </c>
      <c r="B52" s="5">
        <f t="shared" si="3"/>
        <v>77516.965753673227</v>
      </c>
      <c r="C52" s="5">
        <f>Simulador!C11</f>
        <v>1785.400640245085</v>
      </c>
      <c r="D52" s="5">
        <f>B52*Simulador!C7</f>
        <v>500.552181080705</v>
      </c>
      <c r="E52" s="5">
        <f t="shared" si="0"/>
        <v>1284.8484591643801</v>
      </c>
      <c r="F52" s="6">
        <v>2000</v>
      </c>
      <c r="G52" s="5">
        <f t="shared" si="1"/>
        <v>3284.8484591643801</v>
      </c>
      <c r="H52" s="5">
        <f t="shared" si="2"/>
        <v>74232.117294508847</v>
      </c>
    </row>
    <row r="53" spans="1:8" x14ac:dyDescent="0.3">
      <c r="A53">
        <v>52</v>
      </c>
      <c r="B53" s="5">
        <f t="shared" si="3"/>
        <v>74232.117294508847</v>
      </c>
      <c r="C53" s="5">
        <f>Simulador!C11</f>
        <v>1785.400640245085</v>
      </c>
      <c r="D53" s="5">
        <f>B53*Simulador!C7</f>
        <v>479.34084953840437</v>
      </c>
      <c r="E53" s="5">
        <f t="shared" si="0"/>
        <v>1306.0597907066806</v>
      </c>
      <c r="F53" s="6">
        <v>2000</v>
      </c>
      <c r="G53" s="5">
        <f t="shared" si="1"/>
        <v>3306.0597907066804</v>
      </c>
      <c r="H53" s="5">
        <f t="shared" si="2"/>
        <v>70926.057503802163</v>
      </c>
    </row>
    <row r="54" spans="1:8" x14ac:dyDescent="0.3">
      <c r="A54">
        <v>53</v>
      </c>
      <c r="B54" s="5">
        <f t="shared" si="3"/>
        <v>70926.057503802163</v>
      </c>
      <c r="C54" s="5">
        <f>Simulador!C11</f>
        <v>1785.400640245085</v>
      </c>
      <c r="D54" s="5">
        <f>B54*Simulador!C7</f>
        <v>457.99254955101702</v>
      </c>
      <c r="E54" s="5">
        <f t="shared" si="0"/>
        <v>1327.4080906940681</v>
      </c>
      <c r="F54" s="6">
        <v>2000</v>
      </c>
      <c r="G54" s="5">
        <f t="shared" si="1"/>
        <v>3327.4080906940681</v>
      </c>
      <c r="H54" s="5">
        <f t="shared" si="2"/>
        <v>67598.649413108098</v>
      </c>
    </row>
    <row r="55" spans="1:8" x14ac:dyDescent="0.3">
      <c r="A55">
        <v>54</v>
      </c>
      <c r="B55" s="5">
        <f t="shared" si="3"/>
        <v>67598.649413108098</v>
      </c>
      <c r="C55" s="5">
        <f>Simulador!C11</f>
        <v>1785.400640245085</v>
      </c>
      <c r="D55" s="5">
        <f>B55*Simulador!C7</f>
        <v>436.50639666888395</v>
      </c>
      <c r="E55" s="5">
        <f t="shared" si="0"/>
        <v>1348.894243576201</v>
      </c>
      <c r="F55" s="6">
        <v>2000</v>
      </c>
      <c r="G55" s="5">
        <f t="shared" si="1"/>
        <v>3348.894243576201</v>
      </c>
      <c r="H55" s="5">
        <f t="shared" si="2"/>
        <v>64249.755169531898</v>
      </c>
    </row>
    <row r="56" spans="1:8" x14ac:dyDescent="0.3">
      <c r="A56">
        <v>55</v>
      </c>
      <c r="B56" s="5">
        <f t="shared" si="3"/>
        <v>64249.755169531898</v>
      </c>
      <c r="C56" s="5">
        <f>Simulador!C11</f>
        <v>1785.400640245085</v>
      </c>
      <c r="D56" s="5">
        <f>B56*Simulador!C7</f>
        <v>414.88150073116782</v>
      </c>
      <c r="E56" s="5">
        <f t="shared" si="0"/>
        <v>1370.5191395139173</v>
      </c>
      <c r="F56" s="6">
        <v>2000</v>
      </c>
      <c r="G56" s="5">
        <f t="shared" si="1"/>
        <v>3370.5191395139173</v>
      </c>
      <c r="H56" s="5">
        <f t="shared" si="2"/>
        <v>60879.236030017979</v>
      </c>
    </row>
    <row r="57" spans="1:8" x14ac:dyDescent="0.3">
      <c r="A57">
        <v>56</v>
      </c>
      <c r="B57" s="5">
        <f t="shared" si="3"/>
        <v>60879.236030017979</v>
      </c>
      <c r="C57" s="5">
        <f>Simulador!C11</f>
        <v>1785.400640245085</v>
      </c>
      <c r="D57" s="5">
        <f>B57*Simulador!C7</f>
        <v>393.1169658289744</v>
      </c>
      <c r="E57" s="5">
        <f t="shared" si="0"/>
        <v>1392.2836744161107</v>
      </c>
      <c r="F57" s="6">
        <v>2000</v>
      </c>
      <c r="G57" s="5">
        <f t="shared" si="1"/>
        <v>3392.2836744161104</v>
      </c>
      <c r="H57" s="5">
        <f t="shared" si="2"/>
        <v>57486.952355601868</v>
      </c>
    </row>
    <row r="58" spans="1:8" x14ac:dyDescent="0.3">
      <c r="A58">
        <v>57</v>
      </c>
      <c r="B58" s="5">
        <f t="shared" si="3"/>
        <v>57486.952355601868</v>
      </c>
      <c r="C58" s="5">
        <f>Simulador!C11</f>
        <v>1785.400640245085</v>
      </c>
      <c r="D58" s="5">
        <f>B58*Simulador!C7</f>
        <v>371.21189026823515</v>
      </c>
      <c r="E58" s="5">
        <f t="shared" si="0"/>
        <v>1414.18874997685</v>
      </c>
      <c r="F58" s="6">
        <v>2000</v>
      </c>
      <c r="G58" s="5">
        <f t="shared" si="1"/>
        <v>3414.18874997685</v>
      </c>
      <c r="H58" s="5">
        <f t="shared" si="2"/>
        <v>54072.763605625019</v>
      </c>
    </row>
    <row r="59" spans="1:8" x14ac:dyDescent="0.3">
      <c r="A59">
        <v>58</v>
      </c>
      <c r="B59" s="5">
        <f t="shared" si="3"/>
        <v>54072.763605625019</v>
      </c>
      <c r="C59" s="5">
        <f>Simulador!C11</f>
        <v>1785.400640245085</v>
      </c>
      <c r="D59" s="5">
        <f>B59*Simulador!C7</f>
        <v>349.16536653235045</v>
      </c>
      <c r="E59" s="5">
        <f t="shared" si="0"/>
        <v>1436.2352737127346</v>
      </c>
      <c r="F59" s="6">
        <v>2000</v>
      </c>
      <c r="G59" s="5">
        <f t="shared" si="1"/>
        <v>3436.2352737127349</v>
      </c>
      <c r="H59" s="5">
        <f t="shared" si="2"/>
        <v>50636.528331912283</v>
      </c>
    </row>
    <row r="60" spans="1:8" x14ac:dyDescent="0.3">
      <c r="A60">
        <v>59</v>
      </c>
      <c r="B60" s="5">
        <f t="shared" si="3"/>
        <v>50636.528331912283</v>
      </c>
      <c r="C60" s="5">
        <f>Simulador!C11</f>
        <v>1785.400640245085</v>
      </c>
      <c r="D60" s="5">
        <f>B60*Simulador!C7</f>
        <v>326.97648124459187</v>
      </c>
      <c r="E60" s="5">
        <f t="shared" si="0"/>
        <v>1458.4241590004931</v>
      </c>
      <c r="F60" s="6">
        <v>2000</v>
      </c>
      <c r="G60" s="5">
        <f t="shared" si="1"/>
        <v>3458.4241590004931</v>
      </c>
      <c r="H60" s="5">
        <f t="shared" si="2"/>
        <v>47178.104172911786</v>
      </c>
    </row>
    <row r="61" spans="1:8" x14ac:dyDescent="0.3">
      <c r="A61">
        <v>60</v>
      </c>
      <c r="B61" s="5">
        <f t="shared" si="3"/>
        <v>47178.104172911786</v>
      </c>
      <c r="C61" s="5">
        <f>Simulador!C11</f>
        <v>1785.400640245085</v>
      </c>
      <c r="D61" s="5">
        <f>B61*Simulador!C7</f>
        <v>304.64431513026136</v>
      </c>
      <c r="E61" s="5">
        <f t="shared" si="0"/>
        <v>1480.7563251148235</v>
      </c>
      <c r="F61" s="6">
        <v>2000</v>
      </c>
      <c r="G61" s="5">
        <f t="shared" si="1"/>
        <v>3480.7563251148235</v>
      </c>
      <c r="H61" s="5">
        <f t="shared" si="2"/>
        <v>43697.347847796962</v>
      </c>
    </row>
    <row r="62" spans="1:8" x14ac:dyDescent="0.3">
      <c r="A62">
        <v>61</v>
      </c>
      <c r="B62" s="5">
        <f t="shared" si="3"/>
        <v>43697.347847796962</v>
      </c>
      <c r="C62" s="5">
        <f>Simulador!C11</f>
        <v>1785.400640245085</v>
      </c>
      <c r="D62" s="5">
        <f>B62*Simulador!C7</f>
        <v>282.16794297860599</v>
      </c>
      <c r="E62" s="5">
        <f t="shared" si="0"/>
        <v>1503.2326972664791</v>
      </c>
      <c r="F62" s="6">
        <v>2000</v>
      </c>
      <c r="G62" s="5">
        <f t="shared" si="1"/>
        <v>3503.2326972664791</v>
      </c>
      <c r="H62" s="5">
        <f t="shared" si="2"/>
        <v>40194.115150530481</v>
      </c>
    </row>
    <row r="63" spans="1:8" x14ac:dyDescent="0.3">
      <c r="A63">
        <v>62</v>
      </c>
      <c r="B63" s="5">
        <f t="shared" si="3"/>
        <v>40194.115150530481</v>
      </c>
      <c r="C63" s="5">
        <f>Simulador!C11</f>
        <v>1785.400640245085</v>
      </c>
      <c r="D63" s="5">
        <f>B63*Simulador!C7</f>
        <v>259.54643360448699</v>
      </c>
      <c r="E63" s="5">
        <f t="shared" si="0"/>
        <v>1525.854206640598</v>
      </c>
      <c r="F63" s="6">
        <v>2000</v>
      </c>
      <c r="G63" s="5">
        <f t="shared" si="1"/>
        <v>3525.854206640598</v>
      </c>
      <c r="H63" s="5">
        <f t="shared" si="2"/>
        <v>36668.26094388988</v>
      </c>
    </row>
    <row r="64" spans="1:8" x14ac:dyDescent="0.3">
      <c r="A64">
        <v>63</v>
      </c>
      <c r="B64" s="5">
        <f t="shared" si="3"/>
        <v>36668.26094388988</v>
      </c>
      <c r="C64" s="5">
        <f>Simulador!C11</f>
        <v>1785.400640245085</v>
      </c>
      <c r="D64" s="5">
        <f>B64*Simulador!C7</f>
        <v>236.77884980980136</v>
      </c>
      <c r="E64" s="5">
        <f t="shared" si="0"/>
        <v>1548.6217904352836</v>
      </c>
      <c r="F64" s="6">
        <v>2000</v>
      </c>
      <c r="G64" s="5">
        <f t="shared" si="1"/>
        <v>3548.6217904352834</v>
      </c>
      <c r="H64" s="5">
        <f t="shared" si="2"/>
        <v>33119.639153454598</v>
      </c>
    </row>
    <row r="65" spans="1:8" x14ac:dyDescent="0.3">
      <c r="A65">
        <v>64</v>
      </c>
      <c r="B65" s="5">
        <f t="shared" si="3"/>
        <v>33119.639153454598</v>
      </c>
      <c r="C65" s="5">
        <f>Simulador!C11</f>
        <v>1785.400640245085</v>
      </c>
      <c r="D65" s="5">
        <f>B65*Simulador!C7</f>
        <v>213.86424834465404</v>
      </c>
      <c r="E65" s="5">
        <f t="shared" si="0"/>
        <v>1571.536391900431</v>
      </c>
      <c r="F65" s="6">
        <v>2000</v>
      </c>
      <c r="G65" s="5">
        <f t="shared" si="1"/>
        <v>3571.5363919004312</v>
      </c>
      <c r="H65" s="5">
        <f t="shared" si="2"/>
        <v>29548.102761554168</v>
      </c>
    </row>
    <row r="66" spans="1:8" x14ac:dyDescent="0.3">
      <c r="A66">
        <v>65</v>
      </c>
      <c r="B66" s="5">
        <f t="shared" si="3"/>
        <v>29548.102761554168</v>
      </c>
      <c r="C66" s="5">
        <f>Simulador!C11</f>
        <v>1785.400640245085</v>
      </c>
      <c r="D66" s="5">
        <f>B66*Simulador!C7</f>
        <v>190.80167986827945</v>
      </c>
      <c r="E66" s="5">
        <f t="shared" ref="E66:E129" si="4">C66-D66</f>
        <v>1594.5989603768055</v>
      </c>
      <c r="F66" s="6">
        <v>2000</v>
      </c>
      <c r="G66" s="5">
        <f t="shared" ref="G66:G129" si="5">E66+F66</f>
        <v>3594.5989603768057</v>
      </c>
      <c r="H66" s="5">
        <f t="shared" ref="H66:H129" si="6">B66-G66</f>
        <v>25953.503801177361</v>
      </c>
    </row>
    <row r="67" spans="1:8" x14ac:dyDescent="0.3">
      <c r="A67">
        <v>66</v>
      </c>
      <c r="B67" s="5">
        <f t="shared" ref="B67:B130" si="7">H66</f>
        <v>25953.503801177361</v>
      </c>
      <c r="C67" s="5">
        <f>Simulador!C11</f>
        <v>1785.400640245085</v>
      </c>
      <c r="D67" s="5">
        <f>B67*Simulador!C7</f>
        <v>167.59018890971103</v>
      </c>
      <c r="E67" s="5">
        <f t="shared" si="4"/>
        <v>1617.810451335374</v>
      </c>
      <c r="F67" s="6">
        <v>2000</v>
      </c>
      <c r="G67" s="5">
        <f t="shared" si="5"/>
        <v>3617.8104513353737</v>
      </c>
      <c r="H67" s="5">
        <f t="shared" si="6"/>
        <v>22335.693349841989</v>
      </c>
    </row>
    <row r="68" spans="1:8" x14ac:dyDescent="0.3">
      <c r="A68">
        <v>67</v>
      </c>
      <c r="B68" s="5">
        <f t="shared" si="7"/>
        <v>22335.693349841989</v>
      </c>
      <c r="C68" s="5">
        <f>Simulador!C11</f>
        <v>1785.400640245085</v>
      </c>
      <c r="D68" s="5">
        <f>B68*Simulador!C7</f>
        <v>144.22881382819631</v>
      </c>
      <c r="E68" s="5">
        <f t="shared" si="4"/>
        <v>1641.1718264168887</v>
      </c>
      <c r="F68" s="6">
        <v>2000</v>
      </c>
      <c r="G68" s="5">
        <f t="shared" si="5"/>
        <v>3641.1718264168885</v>
      </c>
      <c r="H68" s="5">
        <f t="shared" si="6"/>
        <v>18694.521523425101</v>
      </c>
    </row>
    <row r="69" spans="1:8" x14ac:dyDescent="0.3">
      <c r="A69">
        <v>68</v>
      </c>
      <c r="B69" s="5">
        <f t="shared" si="7"/>
        <v>18694.521523425101</v>
      </c>
      <c r="C69" s="5">
        <f>Simulador!C11</f>
        <v>1785.400640245085</v>
      </c>
      <c r="D69" s="5">
        <f>B69*Simulador!C7</f>
        <v>120.71658677335675</v>
      </c>
      <c r="E69" s="5">
        <f t="shared" si="4"/>
        <v>1664.6840534717282</v>
      </c>
      <c r="F69" s="6">
        <v>2000</v>
      </c>
      <c r="G69" s="5">
        <f t="shared" si="5"/>
        <v>3664.6840534717285</v>
      </c>
      <c r="H69" s="5">
        <f t="shared" si="6"/>
        <v>15029.837469953372</v>
      </c>
    </row>
    <row r="70" spans="1:8" x14ac:dyDescent="0.3">
      <c r="A70">
        <v>69</v>
      </c>
      <c r="B70" s="5">
        <f t="shared" si="7"/>
        <v>15029.837469953372</v>
      </c>
      <c r="C70" s="5">
        <f>Simulador!C11</f>
        <v>1785.400640245085</v>
      </c>
      <c r="D70" s="5">
        <f>B70*Simulador!C7</f>
        <v>97.052533645090065</v>
      </c>
      <c r="E70" s="5">
        <f t="shared" si="4"/>
        <v>1688.3481065999949</v>
      </c>
      <c r="F70" s="6">
        <v>2000</v>
      </c>
      <c r="G70" s="5">
        <f t="shared" si="5"/>
        <v>3688.3481065999949</v>
      </c>
      <c r="H70" s="5">
        <f t="shared" si="6"/>
        <v>11341.489363353377</v>
      </c>
    </row>
    <row r="71" spans="1:8" x14ac:dyDescent="0.3">
      <c r="A71">
        <v>70</v>
      </c>
      <c r="B71" s="5">
        <f t="shared" si="7"/>
        <v>11341.489363353377</v>
      </c>
      <c r="C71" s="5">
        <f>Simulador!C11</f>
        <v>1785.400640245085</v>
      </c>
      <c r="D71" s="5">
        <f>B71*Simulador!C7</f>
        <v>73.235674053213799</v>
      </c>
      <c r="E71" s="5">
        <f t="shared" si="4"/>
        <v>1712.1649661918711</v>
      </c>
      <c r="F71" s="6">
        <v>2000</v>
      </c>
      <c r="G71" s="5">
        <f t="shared" si="5"/>
        <v>3712.1649661918709</v>
      </c>
      <c r="H71" s="5">
        <f t="shared" si="6"/>
        <v>7629.3243971615066</v>
      </c>
    </row>
    <row r="72" spans="1:8" x14ac:dyDescent="0.3">
      <c r="A72">
        <v>71</v>
      </c>
      <c r="B72" s="5">
        <f t="shared" si="7"/>
        <v>7629.3243971615066</v>
      </c>
      <c r="C72" s="5">
        <f>Simulador!C11</f>
        <v>1785.400640245085</v>
      </c>
      <c r="D72" s="5">
        <f>B72*Simulador!C7</f>
        <v>49.265021276848223</v>
      </c>
      <c r="E72" s="5">
        <f t="shared" si="4"/>
        <v>1736.1356189682367</v>
      </c>
      <c r="F72" s="6">
        <v>2000</v>
      </c>
      <c r="G72" s="5">
        <f t="shared" si="5"/>
        <v>3736.1356189682365</v>
      </c>
      <c r="H72" s="5">
        <f t="shared" si="6"/>
        <v>3893.1887781932701</v>
      </c>
    </row>
    <row r="73" spans="1:8" x14ac:dyDescent="0.3">
      <c r="A73">
        <v>72</v>
      </c>
      <c r="B73" s="5">
        <f t="shared" si="7"/>
        <v>3893.1887781932701</v>
      </c>
      <c r="C73" s="5">
        <f>Simulador!C11</f>
        <v>1785.400640245085</v>
      </c>
      <c r="D73" s="5">
        <f>B73*Simulador!C7</f>
        <v>25.139582223536955</v>
      </c>
      <c r="E73" s="5">
        <f t="shared" si="4"/>
        <v>1760.261058021548</v>
      </c>
      <c r="F73" s="6">
        <v>2000</v>
      </c>
      <c r="G73" s="5">
        <f t="shared" si="5"/>
        <v>3760.2610580215478</v>
      </c>
      <c r="H73" s="5">
        <f t="shared" si="6"/>
        <v>132.92772017172229</v>
      </c>
    </row>
    <row r="74" spans="1:8" x14ac:dyDescent="0.3">
      <c r="A74">
        <v>73</v>
      </c>
      <c r="B74" s="5">
        <f t="shared" si="7"/>
        <v>132.92772017172229</v>
      </c>
      <c r="C74" s="5">
        <f>Simulador!C11</f>
        <v>1785.400640245085</v>
      </c>
      <c r="D74" s="5">
        <f>B74*Simulador!C7</f>
        <v>0.8583573881036265</v>
      </c>
      <c r="E74" s="5">
        <f t="shared" si="4"/>
        <v>1784.5422828569815</v>
      </c>
      <c r="F74" s="6">
        <v>2000</v>
      </c>
      <c r="G74" s="5">
        <f t="shared" si="5"/>
        <v>3784.5422828569817</v>
      </c>
      <c r="H74" s="5">
        <f t="shared" si="6"/>
        <v>-3651.6145626852594</v>
      </c>
    </row>
    <row r="75" spans="1:8" x14ac:dyDescent="0.3">
      <c r="A75">
        <v>74</v>
      </c>
      <c r="B75" s="5">
        <f t="shared" si="7"/>
        <v>-3651.6145626852594</v>
      </c>
      <c r="C75" s="5">
        <f>Simulador!C11</f>
        <v>1785.400640245085</v>
      </c>
      <c r="D75" s="5">
        <f>B75*Simulador!C7</f>
        <v>-23.579659188757113</v>
      </c>
      <c r="E75" s="5">
        <f t="shared" si="4"/>
        <v>1808.9802994338422</v>
      </c>
      <c r="F75" s="6">
        <v>2000</v>
      </c>
      <c r="G75" s="5">
        <f t="shared" si="5"/>
        <v>3808.9802994338424</v>
      </c>
      <c r="H75" s="5">
        <f t="shared" si="6"/>
        <v>-7460.5948621191019</v>
      </c>
    </row>
    <row r="76" spans="1:8" x14ac:dyDescent="0.3">
      <c r="A76">
        <v>75</v>
      </c>
      <c r="B76" s="5">
        <f t="shared" si="7"/>
        <v>-7460.5948621191019</v>
      </c>
      <c r="C76" s="5">
        <f>Simulador!C11</f>
        <v>1785.400640245085</v>
      </c>
      <c r="D76" s="5">
        <f>B76*Simulador!C7</f>
        <v>-48.175479962156004</v>
      </c>
      <c r="E76" s="5">
        <f t="shared" si="4"/>
        <v>1833.576120207241</v>
      </c>
      <c r="F76" s="6">
        <v>2000</v>
      </c>
      <c r="G76" s="5">
        <f t="shared" si="5"/>
        <v>3833.5761202072408</v>
      </c>
      <c r="H76" s="5">
        <f t="shared" si="6"/>
        <v>-11294.170982326343</v>
      </c>
    </row>
    <row r="77" spans="1:8" x14ac:dyDescent="0.3">
      <c r="A77">
        <v>76</v>
      </c>
      <c r="B77" s="5">
        <f t="shared" si="7"/>
        <v>-11294.170982326343</v>
      </c>
      <c r="C77" s="5">
        <f>Simulador!C11</f>
        <v>1785.400640245085</v>
      </c>
      <c r="D77" s="5">
        <f>B77*Simulador!C7</f>
        <v>-72.930123924954714</v>
      </c>
      <c r="E77" s="5">
        <f t="shared" si="4"/>
        <v>1858.3307641700396</v>
      </c>
      <c r="F77" s="6">
        <v>2000</v>
      </c>
      <c r="G77" s="5">
        <f t="shared" si="5"/>
        <v>3858.3307641700394</v>
      </c>
      <c r="H77" s="5">
        <f t="shared" si="6"/>
        <v>-15152.501746496382</v>
      </c>
    </row>
    <row r="78" spans="1:8" x14ac:dyDescent="0.3">
      <c r="A78">
        <v>77</v>
      </c>
      <c r="B78" s="5">
        <f t="shared" si="7"/>
        <v>-15152.501746496382</v>
      </c>
      <c r="C78" s="5">
        <f>Simulador!C11</f>
        <v>1785.400640245085</v>
      </c>
      <c r="D78" s="5">
        <f>B78*Simulador!C7</f>
        <v>-97.8446166499822</v>
      </c>
      <c r="E78" s="5">
        <f t="shared" si="4"/>
        <v>1883.2452568950673</v>
      </c>
      <c r="F78" s="6">
        <v>2000</v>
      </c>
      <c r="G78" s="5">
        <f t="shared" si="5"/>
        <v>3883.2452568950675</v>
      </c>
      <c r="H78" s="5">
        <f t="shared" si="6"/>
        <v>-19035.747003391451</v>
      </c>
    </row>
    <row r="79" spans="1:8" x14ac:dyDescent="0.3">
      <c r="A79">
        <v>78</v>
      </c>
      <c r="B79" s="5">
        <f t="shared" si="7"/>
        <v>-19035.747003391451</v>
      </c>
      <c r="C79" s="5">
        <f>Simulador!C11</f>
        <v>1785.400640245085</v>
      </c>
      <c r="D79" s="5">
        <f>B79*Simulador!C7</f>
        <v>-122.91999033252371</v>
      </c>
      <c r="E79" s="5">
        <f t="shared" si="4"/>
        <v>1908.3206305776087</v>
      </c>
      <c r="F79" s="6">
        <v>2000</v>
      </c>
      <c r="G79" s="5">
        <f t="shared" si="5"/>
        <v>3908.3206305776084</v>
      </c>
      <c r="H79" s="5">
        <f t="shared" si="6"/>
        <v>-22944.067633969058</v>
      </c>
    </row>
    <row r="80" spans="1:8" x14ac:dyDescent="0.3">
      <c r="A80">
        <v>79</v>
      </c>
      <c r="B80" s="5">
        <f t="shared" si="7"/>
        <v>-22944.067633969058</v>
      </c>
      <c r="C80" s="5">
        <f>Simulador!C11</f>
        <v>1785.400640245085</v>
      </c>
      <c r="D80" s="5">
        <f>B80*Simulador!C7</f>
        <v>-148.15728383308408</v>
      </c>
      <c r="E80" s="5">
        <f t="shared" si="4"/>
        <v>1933.557924078169</v>
      </c>
      <c r="F80" s="6">
        <v>2000</v>
      </c>
      <c r="G80" s="5">
        <f t="shared" si="5"/>
        <v>3933.557924078169</v>
      </c>
      <c r="H80" s="5">
        <f t="shared" si="6"/>
        <v>-26877.625558047228</v>
      </c>
    </row>
    <row r="81" spans="1:8" x14ac:dyDescent="0.3">
      <c r="A81">
        <v>80</v>
      </c>
      <c r="B81" s="5">
        <f t="shared" si="7"/>
        <v>-26877.625558047228</v>
      </c>
      <c r="C81" s="5">
        <f>Simulador!C11</f>
        <v>1785.400640245085</v>
      </c>
      <c r="D81" s="5">
        <f>B81*Simulador!C7</f>
        <v>-173.55754272042728</v>
      </c>
      <c r="E81" s="5">
        <f t="shared" si="4"/>
        <v>1958.9581829655124</v>
      </c>
      <c r="F81" s="6">
        <v>0</v>
      </c>
      <c r="G81" s="5">
        <f t="shared" si="5"/>
        <v>1958.9581829655124</v>
      </c>
      <c r="H81" s="5">
        <f t="shared" si="6"/>
        <v>-28836.583741012739</v>
      </c>
    </row>
    <row r="82" spans="1:8" x14ac:dyDescent="0.3">
      <c r="A82">
        <v>81</v>
      </c>
      <c r="B82" s="5">
        <f t="shared" si="7"/>
        <v>-28836.583741012739</v>
      </c>
      <c r="C82" s="5">
        <f>Simulador!C11</f>
        <v>1785.400640245085</v>
      </c>
      <c r="D82" s="5">
        <f>B82*Simulador!C7</f>
        <v>-186.20717085790139</v>
      </c>
      <c r="E82" s="5">
        <f t="shared" si="4"/>
        <v>1971.6078111029865</v>
      </c>
      <c r="F82" s="6">
        <v>0</v>
      </c>
      <c r="G82" s="5">
        <f t="shared" si="5"/>
        <v>1971.6078111029865</v>
      </c>
      <c r="H82" s="5">
        <f t="shared" si="6"/>
        <v>-30808.191552115724</v>
      </c>
    </row>
    <row r="83" spans="1:8" x14ac:dyDescent="0.3">
      <c r="A83">
        <v>82</v>
      </c>
      <c r="B83" s="5">
        <f t="shared" si="7"/>
        <v>-30808.191552115724</v>
      </c>
      <c r="C83" s="5">
        <f>Simulador!C11</f>
        <v>1785.400640245085</v>
      </c>
      <c r="D83" s="5">
        <f>B83*Simulador!C7</f>
        <v>-198.93848174562908</v>
      </c>
      <c r="E83" s="5">
        <f t="shared" si="4"/>
        <v>1984.3391219907141</v>
      </c>
      <c r="F83" s="6">
        <v>0</v>
      </c>
      <c r="G83" s="5">
        <f t="shared" si="5"/>
        <v>1984.3391219907141</v>
      </c>
      <c r="H83" s="5">
        <f t="shared" si="6"/>
        <v>-32792.530674106441</v>
      </c>
    </row>
    <row r="84" spans="1:8" x14ac:dyDescent="0.3">
      <c r="A84">
        <v>83</v>
      </c>
      <c r="B84" s="5">
        <f t="shared" si="7"/>
        <v>-32792.530674106441</v>
      </c>
      <c r="C84" s="5">
        <f>Simulador!C11</f>
        <v>1785.400640245085</v>
      </c>
      <c r="D84" s="5">
        <f>B84*Simulador!C7</f>
        <v>-211.75200283561261</v>
      </c>
      <c r="E84" s="5">
        <f t="shared" si="4"/>
        <v>1997.1526430806975</v>
      </c>
      <c r="F84" s="6">
        <v>0</v>
      </c>
      <c r="G84" s="5">
        <f t="shared" si="5"/>
        <v>1997.1526430806975</v>
      </c>
      <c r="H84" s="5">
        <f t="shared" si="6"/>
        <v>-34789.68331718714</v>
      </c>
    </row>
    <row r="85" spans="1:8" x14ac:dyDescent="0.3">
      <c r="A85">
        <v>84</v>
      </c>
      <c r="B85" s="5">
        <f t="shared" si="7"/>
        <v>-34789.68331718714</v>
      </c>
      <c r="C85" s="5">
        <f>Simulador!C11</f>
        <v>1785.400640245085</v>
      </c>
      <c r="D85" s="5">
        <f>B85*Simulador!C7</f>
        <v>-224.64826498578287</v>
      </c>
      <c r="E85" s="5">
        <f t="shared" si="4"/>
        <v>2010.0489052308678</v>
      </c>
      <c r="F85" s="6">
        <v>0</v>
      </c>
      <c r="G85" s="5">
        <f t="shared" si="5"/>
        <v>2010.0489052308678</v>
      </c>
      <c r="H85" s="5">
        <f t="shared" si="6"/>
        <v>-36799.73222241801</v>
      </c>
    </row>
    <row r="86" spans="1:8" x14ac:dyDescent="0.3">
      <c r="A86">
        <v>85</v>
      </c>
      <c r="B86" s="5">
        <f t="shared" si="7"/>
        <v>-36799.73222241801</v>
      </c>
      <c r="C86" s="5">
        <f>Simulador!C11</f>
        <v>1785.400640245085</v>
      </c>
      <c r="D86" s="5">
        <f>B86*Simulador!C7</f>
        <v>-237.62780248199243</v>
      </c>
      <c r="E86" s="5">
        <f t="shared" si="4"/>
        <v>2023.0284427270774</v>
      </c>
      <c r="F86" s="6">
        <v>0</v>
      </c>
      <c r="G86" s="5">
        <f t="shared" si="5"/>
        <v>2023.0284427270774</v>
      </c>
      <c r="H86" s="5">
        <f t="shared" si="6"/>
        <v>-38822.760665145084</v>
      </c>
    </row>
    <row r="87" spans="1:8" x14ac:dyDescent="0.3">
      <c r="A87">
        <v>86</v>
      </c>
      <c r="B87" s="5">
        <f t="shared" si="7"/>
        <v>-38822.760665145084</v>
      </c>
      <c r="C87" s="5">
        <f>Simulador!C11</f>
        <v>1785.400640245085</v>
      </c>
      <c r="D87" s="5">
        <f>B87*Simulador!C7</f>
        <v>-250.69115306015092</v>
      </c>
      <c r="E87" s="5">
        <f t="shared" si="4"/>
        <v>2036.091793305236</v>
      </c>
      <c r="F87" s="6">
        <v>0</v>
      </c>
      <c r="G87" s="5">
        <f t="shared" si="5"/>
        <v>2036.091793305236</v>
      </c>
      <c r="H87" s="5">
        <f t="shared" si="6"/>
        <v>-40858.852458450317</v>
      </c>
    </row>
    <row r="88" spans="1:8" x14ac:dyDescent="0.3">
      <c r="A88">
        <v>87</v>
      </c>
      <c r="B88" s="5">
        <f t="shared" si="7"/>
        <v>-40858.852458450317</v>
      </c>
      <c r="C88" s="5">
        <f>Simulador!C11</f>
        <v>1785.400640245085</v>
      </c>
      <c r="D88" s="5">
        <f>B88*Simulador!C7</f>
        <v>-263.8388579285031</v>
      </c>
      <c r="E88" s="5">
        <f t="shared" si="4"/>
        <v>2049.2394981735879</v>
      </c>
      <c r="F88" s="6">
        <v>0</v>
      </c>
      <c r="G88" s="5">
        <f t="shared" si="5"/>
        <v>2049.2394981735879</v>
      </c>
      <c r="H88" s="5">
        <f t="shared" si="6"/>
        <v>-42908.091956623903</v>
      </c>
    </row>
    <row r="89" spans="1:8" x14ac:dyDescent="0.3">
      <c r="A89">
        <v>88</v>
      </c>
      <c r="B89" s="5">
        <f t="shared" si="7"/>
        <v>-42908.091956623903</v>
      </c>
      <c r="C89" s="5">
        <f>Simulador!C11</f>
        <v>1785.400640245085</v>
      </c>
      <c r="D89" s="5">
        <f>B89*Simulador!C7</f>
        <v>-277.07146179005082</v>
      </c>
      <c r="E89" s="5">
        <f t="shared" si="4"/>
        <v>2062.4721020351358</v>
      </c>
      <c r="F89" s="6">
        <v>0</v>
      </c>
      <c r="G89" s="5">
        <f t="shared" si="5"/>
        <v>2062.4721020351358</v>
      </c>
      <c r="H89" s="5">
        <f t="shared" si="6"/>
        <v>-44970.564058659038</v>
      </c>
    </row>
    <row r="90" spans="1:8" x14ac:dyDescent="0.3">
      <c r="A90">
        <v>89</v>
      </c>
      <c r="B90" s="5">
        <f t="shared" si="7"/>
        <v>-44970.564058659038</v>
      </c>
      <c r="C90" s="5">
        <f>Simulador!C11</f>
        <v>1785.400640245085</v>
      </c>
      <c r="D90" s="5">
        <f>B90*Simulador!C7</f>
        <v>-290.3895128651198</v>
      </c>
      <c r="E90" s="5">
        <f t="shared" si="4"/>
        <v>2075.7901531102048</v>
      </c>
      <c r="F90" s="6">
        <v>0</v>
      </c>
      <c r="G90" s="5">
        <f t="shared" si="5"/>
        <v>2075.7901531102048</v>
      </c>
      <c r="H90" s="5">
        <f t="shared" si="6"/>
        <v>-47046.354211769241</v>
      </c>
    </row>
    <row r="91" spans="1:8" x14ac:dyDescent="0.3">
      <c r="A91">
        <v>90</v>
      </c>
      <c r="B91" s="5">
        <f t="shared" si="7"/>
        <v>-47046.354211769241</v>
      </c>
      <c r="C91" s="5">
        <f>Simulador!C11</f>
        <v>1785.400640245085</v>
      </c>
      <c r="D91" s="5">
        <f>B91*Simulador!C7</f>
        <v>-303.79356291407214</v>
      </c>
      <c r="E91" s="5">
        <f t="shared" si="4"/>
        <v>2089.194203159157</v>
      </c>
      <c r="F91" s="6">
        <v>0</v>
      </c>
      <c r="G91" s="5">
        <f t="shared" si="5"/>
        <v>2089.194203159157</v>
      </c>
      <c r="H91" s="5">
        <f t="shared" si="6"/>
        <v>-49135.548414928402</v>
      </c>
    </row>
    <row r="92" spans="1:8" x14ac:dyDescent="0.3">
      <c r="A92">
        <v>91</v>
      </c>
      <c r="B92" s="5">
        <f t="shared" si="7"/>
        <v>-49135.548414928402</v>
      </c>
      <c r="C92" s="5">
        <f>Simulador!C11</f>
        <v>1785.400640245085</v>
      </c>
      <c r="D92" s="5">
        <f>B92*Simulador!C7</f>
        <v>-317.28416726016565</v>
      </c>
      <c r="E92" s="5">
        <f t="shared" si="4"/>
        <v>2102.6848075052508</v>
      </c>
      <c r="F92" s="6">
        <v>0</v>
      </c>
      <c r="G92" s="5">
        <f t="shared" si="5"/>
        <v>2102.6848075052508</v>
      </c>
      <c r="H92" s="5">
        <f t="shared" si="6"/>
        <v>-51238.23322243365</v>
      </c>
    </row>
    <row r="93" spans="1:8" x14ac:dyDescent="0.3">
      <c r="A93">
        <v>92</v>
      </c>
      <c r="B93" s="5">
        <f t="shared" si="7"/>
        <v>-51238.23322243365</v>
      </c>
      <c r="C93" s="5">
        <f>Simulador!C11</f>
        <v>1785.400640245085</v>
      </c>
      <c r="D93" s="5">
        <f>B93*Simulador!C7</f>
        <v>-330.86188481256016</v>
      </c>
      <c r="E93" s="5">
        <f t="shared" si="4"/>
        <v>2116.2625250576452</v>
      </c>
      <c r="F93" s="6">
        <v>0</v>
      </c>
      <c r="G93" s="5">
        <f t="shared" si="5"/>
        <v>2116.2625250576452</v>
      </c>
      <c r="H93" s="5">
        <f t="shared" si="6"/>
        <v>-53354.495747491295</v>
      </c>
    </row>
    <row r="94" spans="1:8" x14ac:dyDescent="0.3">
      <c r="A94">
        <v>93</v>
      </c>
      <c r="B94" s="5">
        <f t="shared" si="7"/>
        <v>-53354.495747491295</v>
      </c>
      <c r="C94" s="5">
        <f>Simulador!C11</f>
        <v>1785.400640245085</v>
      </c>
      <c r="D94" s="5">
        <f>B94*Simulador!C7</f>
        <v>-344.52727808947344</v>
      </c>
      <c r="E94" s="5">
        <f t="shared" si="4"/>
        <v>2129.9279183345584</v>
      </c>
      <c r="F94" s="6">
        <v>0</v>
      </c>
      <c r="G94" s="5">
        <f t="shared" si="5"/>
        <v>2129.9279183345584</v>
      </c>
      <c r="H94" s="5">
        <f t="shared" si="6"/>
        <v>-55484.423665825852</v>
      </c>
    </row>
    <row r="95" spans="1:8" x14ac:dyDescent="0.3">
      <c r="A95">
        <v>94</v>
      </c>
      <c r="B95" s="5">
        <f t="shared" si="7"/>
        <v>-55484.423665825852</v>
      </c>
      <c r="C95" s="5">
        <f>Simulador!C11</f>
        <v>1785.400640245085</v>
      </c>
      <c r="D95" s="5">
        <f>B95*Simulador!C7</f>
        <v>-358.28091324148568</v>
      </c>
      <c r="E95" s="5">
        <f t="shared" si="4"/>
        <v>2143.6815534865709</v>
      </c>
      <c r="F95" s="6">
        <v>0</v>
      </c>
      <c r="G95" s="5">
        <f t="shared" si="5"/>
        <v>2143.6815534865709</v>
      </c>
      <c r="H95" s="5">
        <f t="shared" si="6"/>
        <v>-57628.10521931242</v>
      </c>
    </row>
    <row r="96" spans="1:8" x14ac:dyDescent="0.3">
      <c r="A96">
        <v>95</v>
      </c>
      <c r="B96" s="5">
        <f t="shared" si="7"/>
        <v>-57628.10521931242</v>
      </c>
      <c r="C96" s="5">
        <f>Simulador!C11</f>
        <v>1785.400640245085</v>
      </c>
      <c r="D96" s="5">
        <f>B96*Simulador!C7</f>
        <v>-372.12336007499488</v>
      </c>
      <c r="E96" s="5">
        <f t="shared" si="4"/>
        <v>2157.5240003200797</v>
      </c>
      <c r="F96" s="6">
        <v>0</v>
      </c>
      <c r="G96" s="5">
        <f t="shared" si="5"/>
        <v>2157.5240003200797</v>
      </c>
      <c r="H96" s="5">
        <f t="shared" si="6"/>
        <v>-59785.629219632501</v>
      </c>
    </row>
    <row r="97" spans="1:8" x14ac:dyDescent="0.3">
      <c r="A97">
        <v>96</v>
      </c>
      <c r="B97" s="5">
        <f t="shared" si="7"/>
        <v>-59785.629219632501</v>
      </c>
      <c r="C97" s="5">
        <f>Simulador!C11</f>
        <v>1785.400640245085</v>
      </c>
      <c r="D97" s="5">
        <f>B97*Simulador!C7</f>
        <v>-386.05519207582381</v>
      </c>
      <c r="E97" s="5">
        <f t="shared" si="4"/>
        <v>2171.4558323209089</v>
      </c>
      <c r="F97" s="6">
        <v>0</v>
      </c>
      <c r="G97" s="5">
        <f t="shared" si="5"/>
        <v>2171.4558323209089</v>
      </c>
      <c r="H97" s="5">
        <f t="shared" si="6"/>
        <v>-61957.085051953407</v>
      </c>
    </row>
    <row r="98" spans="1:8" x14ac:dyDescent="0.3">
      <c r="A98">
        <v>97</v>
      </c>
      <c r="B98" s="5">
        <f t="shared" si="7"/>
        <v>-61957.085051953407</v>
      </c>
      <c r="C98" s="5">
        <f>Simulador!C11</f>
        <v>1785.400640245085</v>
      </c>
      <c r="D98" s="5">
        <f>B98*Simulador!C7</f>
        <v>-400.07698643297903</v>
      </c>
      <c r="E98" s="5">
        <f t="shared" si="4"/>
        <v>2185.4776266780641</v>
      </c>
      <c r="F98" s="6">
        <v>0</v>
      </c>
      <c r="G98" s="5">
        <f t="shared" si="5"/>
        <v>2185.4776266780641</v>
      </c>
      <c r="H98" s="5">
        <f t="shared" si="6"/>
        <v>-64142.562678631468</v>
      </c>
    </row>
    <row r="99" spans="1:8" x14ac:dyDescent="0.3">
      <c r="A99">
        <v>98</v>
      </c>
      <c r="B99" s="5">
        <f t="shared" si="7"/>
        <v>-64142.562678631468</v>
      </c>
      <c r="C99" s="5">
        <f>Simulador!C11</f>
        <v>1785.400640245085</v>
      </c>
      <c r="D99" s="5">
        <f>B99*Simulador!C7</f>
        <v>-414.18932406256363</v>
      </c>
      <c r="E99" s="5">
        <f t="shared" si="4"/>
        <v>2199.5899643076486</v>
      </c>
      <c r="F99" s="6">
        <v>0</v>
      </c>
      <c r="G99" s="5">
        <f t="shared" si="5"/>
        <v>2199.5899643076486</v>
      </c>
      <c r="H99" s="5">
        <f t="shared" si="6"/>
        <v>-66342.152642939123</v>
      </c>
    </row>
    <row r="100" spans="1:8" x14ac:dyDescent="0.3">
      <c r="A100">
        <v>99</v>
      </c>
      <c r="B100" s="5">
        <f t="shared" si="7"/>
        <v>-66342.152642939123</v>
      </c>
      <c r="C100" s="5">
        <f>Simulador!C11</f>
        <v>1785.400640245085</v>
      </c>
      <c r="D100" s="5">
        <f>B100*Simulador!C7</f>
        <v>-428.39278963184455</v>
      </c>
      <c r="E100" s="5">
        <f t="shared" si="4"/>
        <v>2213.7934298769296</v>
      </c>
      <c r="F100" s="6">
        <v>0</v>
      </c>
      <c r="G100" s="5">
        <f t="shared" si="5"/>
        <v>2213.7934298769296</v>
      </c>
      <c r="H100" s="5">
        <f t="shared" si="6"/>
        <v>-68555.946072816048</v>
      </c>
    </row>
    <row r="101" spans="1:8" x14ac:dyDescent="0.3">
      <c r="A101">
        <v>100</v>
      </c>
      <c r="B101" s="5">
        <f t="shared" si="7"/>
        <v>-68555.946072816048</v>
      </c>
      <c r="C101" s="5">
        <f>Simulador!C11</f>
        <v>1785.400640245085</v>
      </c>
      <c r="D101" s="5">
        <f>B101*Simulador!C7</f>
        <v>-442.68797158347456</v>
      </c>
      <c r="E101" s="5">
        <f t="shared" si="4"/>
        <v>2228.0886118285598</v>
      </c>
      <c r="F101" s="6">
        <v>0</v>
      </c>
      <c r="G101" s="5">
        <f t="shared" si="5"/>
        <v>2228.0886118285598</v>
      </c>
      <c r="H101" s="5">
        <f t="shared" si="6"/>
        <v>-70784.034684644605</v>
      </c>
    </row>
    <row r="102" spans="1:8" x14ac:dyDescent="0.3">
      <c r="A102">
        <v>101</v>
      </c>
      <c r="B102" s="5">
        <f t="shared" si="7"/>
        <v>-70784.034684644605</v>
      </c>
      <c r="C102" s="5">
        <f>Simulador!C11</f>
        <v>1785.400640245085</v>
      </c>
      <c r="D102" s="5">
        <f>B102*Simulador!C7</f>
        <v>-457.07546215987156</v>
      </c>
      <c r="E102" s="5">
        <f t="shared" si="4"/>
        <v>2242.4761024049567</v>
      </c>
      <c r="F102" s="6">
        <v>0</v>
      </c>
      <c r="G102" s="5">
        <f t="shared" si="5"/>
        <v>2242.4761024049567</v>
      </c>
      <c r="H102" s="5">
        <f t="shared" si="6"/>
        <v>-73026.510787049556</v>
      </c>
    </row>
    <row r="103" spans="1:8" x14ac:dyDescent="0.3">
      <c r="A103">
        <v>102</v>
      </c>
      <c r="B103" s="5">
        <f t="shared" si="7"/>
        <v>-73026.510787049556</v>
      </c>
      <c r="C103" s="5">
        <f>Simulador!C11</f>
        <v>1785.400640245085</v>
      </c>
      <c r="D103" s="5">
        <f>B103*Simulador!C7</f>
        <v>-471.5558574277548</v>
      </c>
      <c r="E103" s="5">
        <f t="shared" si="4"/>
        <v>2256.9564976728398</v>
      </c>
      <c r="F103" s="6">
        <v>0</v>
      </c>
      <c r="G103" s="5">
        <f t="shared" si="5"/>
        <v>2256.9564976728398</v>
      </c>
      <c r="H103" s="5">
        <f t="shared" si="6"/>
        <v>-75283.467284722399</v>
      </c>
    </row>
    <row r="104" spans="1:8" x14ac:dyDescent="0.3">
      <c r="A104">
        <v>103</v>
      </c>
      <c r="B104" s="5">
        <f t="shared" si="7"/>
        <v>-75283.467284722399</v>
      </c>
      <c r="C104" s="5">
        <f>Simulador!C11</f>
        <v>1785.400640245085</v>
      </c>
      <c r="D104" s="5">
        <f>B104*Simulador!C7</f>
        <v>-486.12975730283961</v>
      </c>
      <c r="E104" s="5">
        <f t="shared" si="4"/>
        <v>2271.5303975479246</v>
      </c>
      <c r="F104" s="6">
        <v>0</v>
      </c>
      <c r="G104" s="5">
        <f t="shared" si="5"/>
        <v>2271.5303975479246</v>
      </c>
      <c r="H104" s="5">
        <f t="shared" si="6"/>
        <v>-77554.997682270317</v>
      </c>
    </row>
    <row r="105" spans="1:8" x14ac:dyDescent="0.3">
      <c r="A105">
        <v>104</v>
      </c>
      <c r="B105" s="5">
        <f t="shared" si="7"/>
        <v>-77554.997682270317</v>
      </c>
      <c r="C105" s="5">
        <f>Simulador!C11</f>
        <v>1785.400640245085</v>
      </c>
      <c r="D105" s="5">
        <f>B105*Simulador!C7</f>
        <v>-500.79776557469143</v>
      </c>
      <c r="E105" s="5">
        <f t="shared" si="4"/>
        <v>2286.1984058197763</v>
      </c>
      <c r="F105" s="6">
        <v>0</v>
      </c>
      <c r="G105" s="5">
        <f t="shared" si="5"/>
        <v>2286.1984058197763</v>
      </c>
      <c r="H105" s="5">
        <f t="shared" si="6"/>
        <v>-79841.196088090088</v>
      </c>
    </row>
    <row r="106" spans="1:8" x14ac:dyDescent="0.3">
      <c r="A106">
        <v>105</v>
      </c>
      <c r="B106" s="5">
        <f t="shared" si="7"/>
        <v>-79841.196088090088</v>
      </c>
      <c r="C106" s="5">
        <f>Simulador!C11</f>
        <v>1785.400640245085</v>
      </c>
      <c r="D106" s="5">
        <f>B106*Simulador!C7</f>
        <v>-515.56048993174079</v>
      </c>
      <c r="E106" s="5">
        <f t="shared" si="4"/>
        <v>2300.9611301768259</v>
      </c>
      <c r="F106" s="6">
        <v>0</v>
      </c>
      <c r="G106" s="5">
        <f t="shared" si="5"/>
        <v>2300.9611301768259</v>
      </c>
      <c r="H106" s="5">
        <f t="shared" si="6"/>
        <v>-82142.157218266919</v>
      </c>
    </row>
    <row r="107" spans="1:8" x14ac:dyDescent="0.3">
      <c r="A107">
        <v>106</v>
      </c>
      <c r="B107" s="5">
        <f t="shared" si="7"/>
        <v>-82142.157218266919</v>
      </c>
      <c r="C107" s="5">
        <f>Simulador!C11</f>
        <v>1785.400640245085</v>
      </c>
      <c r="D107" s="5">
        <f>B107*Simulador!C7</f>
        <v>-530.41854198645967</v>
      </c>
      <c r="E107" s="5">
        <f t="shared" si="4"/>
        <v>2315.8191822315448</v>
      </c>
      <c r="F107" s="6">
        <v>0</v>
      </c>
      <c r="G107" s="5">
        <f t="shared" si="5"/>
        <v>2315.8191822315448</v>
      </c>
      <c r="H107" s="5">
        <f t="shared" si="6"/>
        <v>-84457.976400498461</v>
      </c>
    </row>
    <row r="108" spans="1:8" x14ac:dyDescent="0.3">
      <c r="A108">
        <v>107</v>
      </c>
      <c r="B108" s="5">
        <f t="shared" si="7"/>
        <v>-84457.976400498461</v>
      </c>
      <c r="C108" s="5">
        <f>Simulador!C11</f>
        <v>1785.400640245085</v>
      </c>
      <c r="D108" s="5">
        <f>B108*Simulador!C7</f>
        <v>-545.37253730069972</v>
      </c>
      <c r="E108" s="5">
        <f t="shared" si="4"/>
        <v>2330.7731775457846</v>
      </c>
      <c r="F108" s="6">
        <v>0</v>
      </c>
      <c r="G108" s="5">
        <f t="shared" si="5"/>
        <v>2330.7731775457846</v>
      </c>
      <c r="H108" s="5">
        <f t="shared" si="6"/>
        <v>-86788.74957804424</v>
      </c>
    </row>
    <row r="109" spans="1:8" x14ac:dyDescent="0.3">
      <c r="A109">
        <v>108</v>
      </c>
      <c r="B109" s="5">
        <f t="shared" si="7"/>
        <v>-86788.74957804424</v>
      </c>
      <c r="C109" s="5">
        <f>Simulador!C11</f>
        <v>1785.400640245085</v>
      </c>
      <c r="D109" s="5">
        <f>B109*Simulador!C7</f>
        <v>-560.42309541119516</v>
      </c>
      <c r="E109" s="5">
        <f t="shared" si="4"/>
        <v>2345.8237356562804</v>
      </c>
      <c r="F109" s="6">
        <v>0</v>
      </c>
      <c r="G109" s="5">
        <f t="shared" si="5"/>
        <v>2345.8237356562804</v>
      </c>
      <c r="H109" s="5">
        <f t="shared" si="6"/>
        <v>-89134.573313700515</v>
      </c>
    </row>
    <row r="110" spans="1:8" x14ac:dyDescent="0.3">
      <c r="A110">
        <v>109</v>
      </c>
      <c r="B110" s="5">
        <f t="shared" si="7"/>
        <v>-89134.573313700515</v>
      </c>
      <c r="C110" s="5">
        <f>Simulador!C11</f>
        <v>1785.400640245085</v>
      </c>
      <c r="D110" s="5">
        <f>B110*Simulador!C7</f>
        <v>-575.57083985522991</v>
      </c>
      <c r="E110" s="5">
        <f t="shared" si="4"/>
        <v>2360.9714801003147</v>
      </c>
      <c r="F110" s="6">
        <v>0</v>
      </c>
      <c r="G110" s="5">
        <f t="shared" si="5"/>
        <v>2360.9714801003147</v>
      </c>
      <c r="H110" s="5">
        <f t="shared" si="6"/>
        <v>-91495.544793800829</v>
      </c>
    </row>
    <row r="111" spans="1:8" x14ac:dyDescent="0.3">
      <c r="A111">
        <v>110</v>
      </c>
      <c r="B111" s="5">
        <f t="shared" si="7"/>
        <v>-91495.544793800829</v>
      </c>
      <c r="C111" s="5">
        <f>Simulador!C11</f>
        <v>1785.400640245085</v>
      </c>
      <c r="D111" s="5">
        <f>B111*Simulador!C7</f>
        <v>-590.81639819647023</v>
      </c>
      <c r="E111" s="5">
        <f t="shared" si="4"/>
        <v>2376.2170384415554</v>
      </c>
      <c r="F111" s="6">
        <v>0</v>
      </c>
      <c r="G111" s="5">
        <f t="shared" si="5"/>
        <v>2376.2170384415554</v>
      </c>
      <c r="H111" s="5">
        <f t="shared" si="6"/>
        <v>-93871.76183224238</v>
      </c>
    </row>
    <row r="112" spans="1:8" x14ac:dyDescent="0.3">
      <c r="A112">
        <v>111</v>
      </c>
      <c r="B112" s="5">
        <f t="shared" si="7"/>
        <v>-93871.76183224238</v>
      </c>
      <c r="C112" s="5">
        <f>Simulador!C11</f>
        <v>1785.400640245085</v>
      </c>
      <c r="D112" s="5">
        <f>B112*Simulador!C7</f>
        <v>-606.16040205096431</v>
      </c>
      <c r="E112" s="5">
        <f t="shared" si="4"/>
        <v>2391.5610422960494</v>
      </c>
      <c r="F112" s="6">
        <v>0</v>
      </c>
      <c r="G112" s="5">
        <f t="shared" si="5"/>
        <v>2391.5610422960494</v>
      </c>
      <c r="H112" s="5">
        <f t="shared" si="6"/>
        <v>-96263.322874538426</v>
      </c>
    </row>
    <row r="113" spans="1:8" x14ac:dyDescent="0.3">
      <c r="A113">
        <v>112</v>
      </c>
      <c r="B113" s="5">
        <f t="shared" si="7"/>
        <v>-96263.322874538426</v>
      </c>
      <c r="C113" s="5">
        <f>Simulador!C11</f>
        <v>1785.400640245085</v>
      </c>
      <c r="D113" s="5">
        <f>B113*Simulador!C7</f>
        <v>-621.60348711331028</v>
      </c>
      <c r="E113" s="5">
        <f t="shared" si="4"/>
        <v>2407.0041273583952</v>
      </c>
      <c r="F113" s="6">
        <v>0</v>
      </c>
      <c r="G113" s="5">
        <f t="shared" si="5"/>
        <v>2407.0041273583952</v>
      </c>
      <c r="H113" s="5">
        <f t="shared" si="6"/>
        <v>-98670.327001896818</v>
      </c>
    </row>
    <row r="114" spans="1:8" x14ac:dyDescent="0.3">
      <c r="A114">
        <v>113</v>
      </c>
      <c r="B114" s="5">
        <f t="shared" si="7"/>
        <v>-98670.327001896818</v>
      </c>
      <c r="C114" s="5">
        <f>Simulador!C11</f>
        <v>1785.400640245085</v>
      </c>
      <c r="D114" s="5">
        <f>B114*Simulador!C7</f>
        <v>-637.14629318299194</v>
      </c>
      <c r="E114" s="5">
        <f t="shared" si="4"/>
        <v>2422.546933428077</v>
      </c>
      <c r="F114" s="6">
        <v>0</v>
      </c>
      <c r="G114" s="5">
        <f t="shared" si="5"/>
        <v>2422.546933428077</v>
      </c>
      <c r="H114" s="5">
        <f t="shared" si="6"/>
        <v>-101092.8739353249</v>
      </c>
    </row>
    <row r="115" spans="1:8" x14ac:dyDescent="0.3">
      <c r="A115">
        <v>114</v>
      </c>
      <c r="B115" s="5">
        <f t="shared" si="7"/>
        <v>-101092.8739353249</v>
      </c>
      <c r="C115" s="5">
        <f>Simulador!C11</f>
        <v>1785.400640245085</v>
      </c>
      <c r="D115" s="5">
        <f>B115*Simulador!C7</f>
        <v>-652.78946419088629</v>
      </c>
      <c r="E115" s="5">
        <f t="shared" si="4"/>
        <v>2438.1901044359711</v>
      </c>
      <c r="F115" s="6">
        <v>0</v>
      </c>
      <c r="G115" s="5">
        <f t="shared" si="5"/>
        <v>2438.1901044359711</v>
      </c>
      <c r="H115" s="5">
        <f t="shared" si="6"/>
        <v>-103531.06403976087</v>
      </c>
    </row>
    <row r="116" spans="1:8" x14ac:dyDescent="0.3">
      <c r="A116">
        <v>115</v>
      </c>
      <c r="B116" s="5">
        <f t="shared" si="7"/>
        <v>-103531.06403976087</v>
      </c>
      <c r="C116" s="5">
        <f>Simulador!C11</f>
        <v>1785.400640245085</v>
      </c>
      <c r="D116" s="5">
        <f>B116*Simulador!C7</f>
        <v>-668.5336482259404</v>
      </c>
      <c r="E116" s="5">
        <f t="shared" si="4"/>
        <v>2453.9342884710254</v>
      </c>
      <c r="F116" s="6">
        <v>0</v>
      </c>
      <c r="G116" s="5">
        <f t="shared" si="5"/>
        <v>2453.9342884710254</v>
      </c>
      <c r="H116" s="5">
        <f t="shared" si="6"/>
        <v>-105984.99832823189</v>
      </c>
    </row>
    <row r="117" spans="1:8" x14ac:dyDescent="0.3">
      <c r="A117">
        <v>116</v>
      </c>
      <c r="B117" s="5">
        <f t="shared" si="7"/>
        <v>-105984.99832823189</v>
      </c>
      <c r="C117" s="5">
        <f>Simulador!C11</f>
        <v>1785.400640245085</v>
      </c>
      <c r="D117" s="5">
        <f>B117*Simulador!C7</f>
        <v>-684.37949756202192</v>
      </c>
      <c r="E117" s="5">
        <f t="shared" si="4"/>
        <v>2469.7801378071072</v>
      </c>
      <c r="F117" s="6">
        <v>0</v>
      </c>
      <c r="G117" s="5">
        <f t="shared" si="5"/>
        <v>2469.7801378071072</v>
      </c>
      <c r="H117" s="5">
        <f t="shared" si="6"/>
        <v>-108454.77846603899</v>
      </c>
    </row>
    <row r="118" spans="1:8" x14ac:dyDescent="0.3">
      <c r="A118">
        <v>117</v>
      </c>
      <c r="B118" s="5">
        <f t="shared" si="7"/>
        <v>-108454.77846603899</v>
      </c>
      <c r="C118" s="5">
        <f>Simulador!C11</f>
        <v>1785.400640245085</v>
      </c>
      <c r="D118" s="5">
        <f>B118*Simulador!C7</f>
        <v>-700.32766868494241</v>
      </c>
      <c r="E118" s="5">
        <f t="shared" si="4"/>
        <v>2485.7283089300272</v>
      </c>
      <c r="F118" s="6">
        <v>0</v>
      </c>
      <c r="G118" s="5">
        <f t="shared" si="5"/>
        <v>2485.7283089300272</v>
      </c>
      <c r="H118" s="5">
        <f t="shared" si="6"/>
        <v>-110940.50677496902</v>
      </c>
    </row>
    <row r="119" spans="1:8" x14ac:dyDescent="0.3">
      <c r="A119">
        <v>118</v>
      </c>
      <c r="B119" s="5">
        <f t="shared" si="7"/>
        <v>-110940.50677496902</v>
      </c>
      <c r="C119" s="5">
        <f>Simulador!C11</f>
        <v>1785.400640245085</v>
      </c>
      <c r="D119" s="5">
        <f>B119*Simulador!C7</f>
        <v>-716.37882231965523</v>
      </c>
      <c r="E119" s="5">
        <f t="shared" si="4"/>
        <v>2501.7794625647402</v>
      </c>
      <c r="F119" s="6">
        <v>0</v>
      </c>
      <c r="G119" s="5">
        <f t="shared" si="5"/>
        <v>2501.7794625647402</v>
      </c>
      <c r="H119" s="5">
        <f t="shared" si="6"/>
        <v>-113442.28623753376</v>
      </c>
    </row>
    <row r="120" spans="1:8" x14ac:dyDescent="0.3">
      <c r="A120">
        <v>119</v>
      </c>
      <c r="B120" s="5">
        <f t="shared" si="7"/>
        <v>-113442.28623753376</v>
      </c>
      <c r="C120" s="5">
        <f>Simulador!C11</f>
        <v>1785.400640245085</v>
      </c>
      <c r="D120" s="5">
        <f>B120*Simulador!C7</f>
        <v>-732.53362345762866</v>
      </c>
      <c r="E120" s="5">
        <f t="shared" si="4"/>
        <v>2517.9342637027139</v>
      </c>
      <c r="F120" s="6">
        <v>0</v>
      </c>
      <c r="G120" s="5">
        <f t="shared" si="5"/>
        <v>2517.9342637027139</v>
      </c>
      <c r="H120" s="5">
        <f t="shared" si="6"/>
        <v>-115960.22050123647</v>
      </c>
    </row>
    <row r="121" spans="1:8" x14ac:dyDescent="0.3">
      <c r="A121">
        <v>120</v>
      </c>
      <c r="B121" s="5">
        <f t="shared" si="7"/>
        <v>-115960.22050123647</v>
      </c>
      <c r="C121" s="5">
        <f>Simulador!C11</f>
        <v>1785.400640245085</v>
      </c>
      <c r="D121" s="5">
        <f>B121*Simulador!C7</f>
        <v>-748.792741384397</v>
      </c>
      <c r="E121" s="5">
        <f t="shared" si="4"/>
        <v>2534.1933816294822</v>
      </c>
      <c r="F121" s="6">
        <v>0</v>
      </c>
      <c r="G121" s="5">
        <f t="shared" si="5"/>
        <v>2534.1933816294822</v>
      </c>
      <c r="H121" s="5">
        <f t="shared" si="6"/>
        <v>-118494.41388286595</v>
      </c>
    </row>
    <row r="122" spans="1:8" x14ac:dyDescent="0.3">
      <c r="A122">
        <v>121</v>
      </c>
      <c r="B122" s="5">
        <f t="shared" si="7"/>
        <v>-118494.41388286595</v>
      </c>
      <c r="C122" s="5">
        <f>Simulador!C11</f>
        <v>1785.400640245085</v>
      </c>
      <c r="D122" s="5">
        <f>B122*Simulador!C7</f>
        <v>-765.15684970728773</v>
      </c>
      <c r="E122" s="5">
        <f t="shared" si="4"/>
        <v>2550.5574899523726</v>
      </c>
      <c r="F122" s="6">
        <v>0</v>
      </c>
      <c r="G122" s="5">
        <f t="shared" si="5"/>
        <v>2550.5574899523726</v>
      </c>
      <c r="H122" s="5">
        <f t="shared" si="6"/>
        <v>-121044.97137281833</v>
      </c>
    </row>
    <row r="123" spans="1:8" x14ac:dyDescent="0.3">
      <c r="A123">
        <v>122</v>
      </c>
      <c r="B123" s="5">
        <f t="shared" si="7"/>
        <v>-121044.97137281833</v>
      </c>
      <c r="C123" s="5">
        <f>Simulador!C11</f>
        <v>1785.400640245085</v>
      </c>
      <c r="D123" s="5">
        <f>B123*Simulador!C7</f>
        <v>-781.62662638332972</v>
      </c>
      <c r="E123" s="5">
        <f t="shared" si="4"/>
        <v>2567.0272666284145</v>
      </c>
      <c r="F123" s="6">
        <v>0</v>
      </c>
      <c r="G123" s="5">
        <f t="shared" si="5"/>
        <v>2567.0272666284145</v>
      </c>
      <c r="H123" s="5">
        <f t="shared" si="6"/>
        <v>-123611.99863944674</v>
      </c>
    </row>
    <row r="124" spans="1:8" x14ac:dyDescent="0.3">
      <c r="A124">
        <v>123</v>
      </c>
      <c r="B124" s="5">
        <f t="shared" si="7"/>
        <v>-123611.99863944674</v>
      </c>
      <c r="C124" s="5">
        <f>Simulador!C11</f>
        <v>1785.400640245085</v>
      </c>
      <c r="D124" s="5">
        <f>B124*Simulador!C7</f>
        <v>-798.20275374733978</v>
      </c>
      <c r="E124" s="5">
        <f t="shared" si="4"/>
        <v>2583.6033939924246</v>
      </c>
      <c r="F124" s="6">
        <v>0</v>
      </c>
      <c r="G124" s="5">
        <f t="shared" si="5"/>
        <v>2583.6033939924246</v>
      </c>
      <c r="H124" s="5">
        <f t="shared" si="6"/>
        <v>-126195.60203343917</v>
      </c>
    </row>
    <row r="125" spans="1:8" x14ac:dyDescent="0.3">
      <c r="A125">
        <v>124</v>
      </c>
      <c r="B125" s="5">
        <f t="shared" si="7"/>
        <v>-126195.60203343917</v>
      </c>
      <c r="C125" s="5">
        <f>Simulador!C11</f>
        <v>1785.400640245085</v>
      </c>
      <c r="D125" s="5">
        <f>B125*Simulador!C7</f>
        <v>-814.88591854019216</v>
      </c>
      <c r="E125" s="5">
        <f t="shared" si="4"/>
        <v>2600.2865587852771</v>
      </c>
      <c r="F125" s="6">
        <v>0</v>
      </c>
      <c r="G125" s="5">
        <f t="shared" si="5"/>
        <v>2600.2865587852771</v>
      </c>
      <c r="H125" s="5">
        <f t="shared" si="6"/>
        <v>-128795.88859222444</v>
      </c>
    </row>
    <row r="126" spans="1:8" x14ac:dyDescent="0.3">
      <c r="A126">
        <v>125</v>
      </c>
      <c r="B126" s="5">
        <f t="shared" si="7"/>
        <v>-128795.88859222444</v>
      </c>
      <c r="C126" s="5">
        <f>Simulador!C11</f>
        <v>1785.400640245085</v>
      </c>
      <c r="D126" s="5">
        <f>B126*Simulador!C7</f>
        <v>-831.67681193726924</v>
      </c>
      <c r="E126" s="5">
        <f t="shared" si="4"/>
        <v>2617.0774521823541</v>
      </c>
      <c r="F126" s="6">
        <v>0</v>
      </c>
      <c r="G126" s="5">
        <f t="shared" si="5"/>
        <v>2617.0774521823541</v>
      </c>
      <c r="H126" s="5">
        <f t="shared" si="6"/>
        <v>-131412.96604440678</v>
      </c>
    </row>
    <row r="127" spans="1:8" x14ac:dyDescent="0.3">
      <c r="A127">
        <v>126</v>
      </c>
      <c r="B127" s="5">
        <f t="shared" si="7"/>
        <v>-131412.96604440678</v>
      </c>
      <c r="C127" s="5">
        <f>Simulador!C11</f>
        <v>1785.400640245085</v>
      </c>
      <c r="D127" s="5">
        <f>B127*Simulador!C7</f>
        <v>-848.5761295770975</v>
      </c>
      <c r="E127" s="5">
        <f t="shared" si="4"/>
        <v>2633.9767698221826</v>
      </c>
      <c r="F127" s="6">
        <v>0</v>
      </c>
      <c r="G127" s="5">
        <f t="shared" si="5"/>
        <v>2633.9767698221826</v>
      </c>
      <c r="H127" s="5">
        <f t="shared" si="6"/>
        <v>-134046.94281422897</v>
      </c>
    </row>
    <row r="128" spans="1:8" x14ac:dyDescent="0.3">
      <c r="A128">
        <v>127</v>
      </c>
      <c r="B128" s="5">
        <f t="shared" si="7"/>
        <v>-134046.94281422897</v>
      </c>
      <c r="C128" s="5">
        <f>Simulador!C11</f>
        <v>1785.400640245085</v>
      </c>
      <c r="D128" s="5">
        <f>B128*Simulador!C7</f>
        <v>-865.58457159016643</v>
      </c>
      <c r="E128" s="5">
        <f t="shared" si="4"/>
        <v>2650.9852118352514</v>
      </c>
      <c r="F128" s="6">
        <v>0</v>
      </c>
      <c r="G128" s="5">
        <f t="shared" si="5"/>
        <v>2650.9852118352514</v>
      </c>
      <c r="H128" s="5">
        <f t="shared" si="6"/>
        <v>-136697.92802606421</v>
      </c>
    </row>
    <row r="129" spans="1:8" x14ac:dyDescent="0.3">
      <c r="A129">
        <v>128</v>
      </c>
      <c r="B129" s="5">
        <f t="shared" si="7"/>
        <v>-136697.92802606421</v>
      </c>
      <c r="C129" s="5">
        <f>Simulador!C11</f>
        <v>1785.400640245085</v>
      </c>
      <c r="D129" s="5">
        <f>B129*Simulador!C7</f>
        <v>-882.7028426279353</v>
      </c>
      <c r="E129" s="5">
        <f t="shared" si="4"/>
        <v>2668.1034828730203</v>
      </c>
      <c r="F129" s="6">
        <v>0</v>
      </c>
      <c r="G129" s="5">
        <f t="shared" si="5"/>
        <v>2668.1034828730203</v>
      </c>
      <c r="H129" s="5">
        <f t="shared" si="6"/>
        <v>-139366.03150893725</v>
      </c>
    </row>
    <row r="130" spans="1:8" x14ac:dyDescent="0.3">
      <c r="A130">
        <v>129</v>
      </c>
      <c r="B130" s="5">
        <f t="shared" si="7"/>
        <v>-139366.03150893725</v>
      </c>
      <c r="C130" s="5">
        <f>Simulador!C11</f>
        <v>1785.400640245085</v>
      </c>
      <c r="D130" s="5">
        <f>B130*Simulador!C7</f>
        <v>-899.93165189202648</v>
      </c>
      <c r="E130" s="5">
        <f t="shared" ref="E130:E193" si="8">C130-D130</f>
        <v>2685.3322921371114</v>
      </c>
      <c r="F130" s="6">
        <v>0</v>
      </c>
      <c r="G130" s="5">
        <f t="shared" ref="G130:G193" si="9">E130+F130</f>
        <v>2685.3322921371114</v>
      </c>
      <c r="H130" s="5">
        <f t="shared" ref="H130:H193" si="10">B130-G130</f>
        <v>-142051.36380107436</v>
      </c>
    </row>
    <row r="131" spans="1:8" x14ac:dyDescent="0.3">
      <c r="A131">
        <v>130</v>
      </c>
      <c r="B131" s="5">
        <f t="shared" ref="B131:B194" si="11">H130</f>
        <v>-142051.36380107436</v>
      </c>
      <c r="C131" s="5">
        <f>Simulador!C11</f>
        <v>1785.400640245085</v>
      </c>
      <c r="D131" s="5">
        <f>B131*Simulador!C7</f>
        <v>-917.27171316360671</v>
      </c>
      <c r="E131" s="5">
        <f t="shared" si="8"/>
        <v>2702.6723534086918</v>
      </c>
      <c r="F131" s="6">
        <v>0</v>
      </c>
      <c r="G131" s="5">
        <f t="shared" si="9"/>
        <v>2702.6723534086918</v>
      </c>
      <c r="H131" s="5">
        <f t="shared" si="10"/>
        <v>-144754.03615448304</v>
      </c>
    </row>
    <row r="132" spans="1:8" x14ac:dyDescent="0.3">
      <c r="A132">
        <v>131</v>
      </c>
      <c r="B132" s="5">
        <f t="shared" si="11"/>
        <v>-144754.03615448304</v>
      </c>
      <c r="C132" s="5">
        <f>Simulador!C11</f>
        <v>1785.400640245085</v>
      </c>
      <c r="D132" s="5">
        <f>B132*Simulador!C7</f>
        <v>-934.72374483295948</v>
      </c>
      <c r="E132" s="5">
        <f t="shared" si="8"/>
        <v>2720.1243850780447</v>
      </c>
      <c r="F132" s="6">
        <v>0</v>
      </c>
      <c r="G132" s="5">
        <f t="shared" si="9"/>
        <v>2720.1243850780447</v>
      </c>
      <c r="H132" s="5">
        <f t="shared" si="10"/>
        <v>-147474.16053956107</v>
      </c>
    </row>
    <row r="133" spans="1:8" x14ac:dyDescent="0.3">
      <c r="A133">
        <v>132</v>
      </c>
      <c r="B133" s="5">
        <f t="shared" si="11"/>
        <v>-147474.16053956107</v>
      </c>
      <c r="C133" s="5">
        <f>Simulador!C11</f>
        <v>1785.400640245085</v>
      </c>
      <c r="D133" s="5">
        <f>B133*Simulador!C7</f>
        <v>-952.28846992924719</v>
      </c>
      <c r="E133" s="5">
        <f t="shared" si="8"/>
        <v>2737.6891101743322</v>
      </c>
      <c r="F133" s="6">
        <v>0</v>
      </c>
      <c r="G133" s="5">
        <f t="shared" si="9"/>
        <v>2737.6891101743322</v>
      </c>
      <c r="H133" s="5">
        <f t="shared" si="10"/>
        <v>-150211.84964973541</v>
      </c>
    </row>
    <row r="134" spans="1:8" x14ac:dyDescent="0.3">
      <c r="A134">
        <v>133</v>
      </c>
      <c r="B134" s="5">
        <f t="shared" si="11"/>
        <v>-150211.84964973541</v>
      </c>
      <c r="C134" s="5">
        <f>Simulador!C11</f>
        <v>1785.400640245085</v>
      </c>
      <c r="D134" s="5">
        <f>B134*Simulador!C7</f>
        <v>-969.96661615046617</v>
      </c>
      <c r="E134" s="5">
        <f t="shared" si="8"/>
        <v>2755.3672563955511</v>
      </c>
      <c r="F134" s="6">
        <v>0</v>
      </c>
      <c r="G134" s="5">
        <f t="shared" si="9"/>
        <v>2755.3672563955511</v>
      </c>
      <c r="H134" s="5">
        <f t="shared" si="10"/>
        <v>-152967.21690613095</v>
      </c>
    </row>
    <row r="135" spans="1:8" x14ac:dyDescent="0.3">
      <c r="A135">
        <v>134</v>
      </c>
      <c r="B135" s="5">
        <f t="shared" si="11"/>
        <v>-152967.21690613095</v>
      </c>
      <c r="C135" s="5">
        <f>Simulador!C11</f>
        <v>1785.400640245085</v>
      </c>
      <c r="D135" s="5">
        <f>B135*Simulador!C7</f>
        <v>-987.75891589359424</v>
      </c>
      <c r="E135" s="5">
        <f t="shared" si="8"/>
        <v>2773.1595561386794</v>
      </c>
      <c r="F135" s="6">
        <v>0</v>
      </c>
      <c r="G135" s="5">
        <f t="shared" si="9"/>
        <v>2773.1595561386794</v>
      </c>
      <c r="H135" s="5">
        <f t="shared" si="10"/>
        <v>-155740.37646226963</v>
      </c>
    </row>
    <row r="136" spans="1:8" x14ac:dyDescent="0.3">
      <c r="A136">
        <v>135</v>
      </c>
      <c r="B136" s="5">
        <f t="shared" si="11"/>
        <v>-155740.37646226963</v>
      </c>
      <c r="C136" s="5">
        <f>Simulador!C11</f>
        <v>1785.400640245085</v>
      </c>
      <c r="D136" s="5">
        <f>B136*Simulador!C7</f>
        <v>-1005.6661062849344</v>
      </c>
      <c r="E136" s="5">
        <f t="shared" si="8"/>
        <v>2791.0667465300194</v>
      </c>
      <c r="F136" s="6">
        <v>0</v>
      </c>
      <c r="G136" s="5">
        <f t="shared" si="9"/>
        <v>2791.0667465300194</v>
      </c>
      <c r="H136" s="5">
        <f t="shared" si="10"/>
        <v>-158531.44320879964</v>
      </c>
    </row>
    <row r="137" spans="1:8" x14ac:dyDescent="0.3">
      <c r="A137">
        <v>136</v>
      </c>
      <c r="B137" s="5">
        <f t="shared" si="11"/>
        <v>-158531.44320879964</v>
      </c>
      <c r="C137" s="5">
        <f>Simulador!C11</f>
        <v>1785.400640245085</v>
      </c>
      <c r="D137" s="5">
        <f>B137*Simulador!C7</f>
        <v>-1023.6889292106526</v>
      </c>
      <c r="E137" s="5">
        <f t="shared" si="8"/>
        <v>2809.0895694557375</v>
      </c>
      <c r="F137" s="6">
        <v>0</v>
      </c>
      <c r="G137" s="5">
        <f t="shared" si="9"/>
        <v>2809.0895694557375</v>
      </c>
      <c r="H137" s="5">
        <f t="shared" si="10"/>
        <v>-161340.53277825538</v>
      </c>
    </row>
    <row r="138" spans="1:8" x14ac:dyDescent="0.3">
      <c r="A138">
        <v>137</v>
      </c>
      <c r="B138" s="5">
        <f t="shared" si="11"/>
        <v>-161340.53277825538</v>
      </c>
      <c r="C138" s="5">
        <f>Simulador!C11</f>
        <v>1785.400640245085</v>
      </c>
      <c r="D138" s="5">
        <f>B138*Simulador!C7</f>
        <v>-1041.8281313475152</v>
      </c>
      <c r="E138" s="5">
        <f t="shared" si="8"/>
        <v>2827.2287715926004</v>
      </c>
      <c r="F138" s="6">
        <v>0</v>
      </c>
      <c r="G138" s="5">
        <f t="shared" si="9"/>
        <v>2827.2287715926004</v>
      </c>
      <c r="H138" s="5">
        <f t="shared" si="10"/>
        <v>-164167.76154984799</v>
      </c>
    </row>
    <row r="139" spans="1:8" x14ac:dyDescent="0.3">
      <c r="A139">
        <v>138</v>
      </c>
      <c r="B139" s="5">
        <f t="shared" si="11"/>
        <v>-164167.76154984799</v>
      </c>
      <c r="C139" s="5">
        <f>Simulador!C11</f>
        <v>1785.400640245085</v>
      </c>
      <c r="D139" s="5">
        <f>B139*Simulador!C7</f>
        <v>-1060.0844641938218</v>
      </c>
      <c r="E139" s="5">
        <f t="shared" si="8"/>
        <v>2845.485104438907</v>
      </c>
      <c r="F139" s="6">
        <v>0</v>
      </c>
      <c r="G139" s="5">
        <f t="shared" si="9"/>
        <v>2845.485104438907</v>
      </c>
      <c r="H139" s="5">
        <f t="shared" si="10"/>
        <v>-167013.24665428689</v>
      </c>
    </row>
    <row r="140" spans="1:8" x14ac:dyDescent="0.3">
      <c r="A140">
        <v>139</v>
      </c>
      <c r="B140" s="5">
        <f t="shared" si="11"/>
        <v>-167013.24665428689</v>
      </c>
      <c r="C140" s="5">
        <f>Simulador!C11</f>
        <v>1785.400640245085</v>
      </c>
      <c r="D140" s="5">
        <f>B140*Simulador!C7</f>
        <v>-1078.45868410054</v>
      </c>
      <c r="E140" s="5">
        <f t="shared" si="8"/>
        <v>2863.8593243456253</v>
      </c>
      <c r="F140" s="6">
        <v>0</v>
      </c>
      <c r="G140" s="5">
        <f t="shared" si="9"/>
        <v>2863.8593243456253</v>
      </c>
      <c r="H140" s="5">
        <f t="shared" si="10"/>
        <v>-169877.10597863252</v>
      </c>
    </row>
    <row r="141" spans="1:8" x14ac:dyDescent="0.3">
      <c r="A141">
        <v>140</v>
      </c>
      <c r="B141" s="5">
        <f t="shared" si="11"/>
        <v>-169877.10597863252</v>
      </c>
      <c r="C141" s="5">
        <f>Simulador!C11</f>
        <v>1785.400640245085</v>
      </c>
      <c r="D141" s="5">
        <f>B141*Simulador!C7</f>
        <v>-1096.9515523026419</v>
      </c>
      <c r="E141" s="5">
        <f t="shared" si="8"/>
        <v>2882.3521925477271</v>
      </c>
      <c r="F141" s="6">
        <v>0</v>
      </c>
      <c r="G141" s="5">
        <f t="shared" si="9"/>
        <v>2882.3521925477271</v>
      </c>
      <c r="H141" s="5">
        <f t="shared" si="10"/>
        <v>-172759.45817118025</v>
      </c>
    </row>
    <row r="142" spans="1:8" x14ac:dyDescent="0.3">
      <c r="A142">
        <v>141</v>
      </c>
      <c r="B142" s="5">
        <f t="shared" si="11"/>
        <v>-172759.45817118025</v>
      </c>
      <c r="C142" s="5">
        <f>Simulador!C11</f>
        <v>1785.400640245085</v>
      </c>
      <c r="D142" s="5">
        <f>B142*Simulador!C7</f>
        <v>-1115.5638349506394</v>
      </c>
      <c r="E142" s="5">
        <f t="shared" si="8"/>
        <v>2900.9644751957244</v>
      </c>
      <c r="F142" s="6">
        <v>0</v>
      </c>
      <c r="G142" s="5">
        <f t="shared" si="9"/>
        <v>2900.9644751957244</v>
      </c>
      <c r="H142" s="5">
        <f t="shared" si="10"/>
        <v>-175660.42264637598</v>
      </c>
    </row>
    <row r="143" spans="1:8" x14ac:dyDescent="0.3">
      <c r="A143">
        <v>142</v>
      </c>
      <c r="B143" s="5">
        <f t="shared" si="11"/>
        <v>-175660.42264637598</v>
      </c>
      <c r="C143" s="5">
        <f>Simulador!C11</f>
        <v>1785.400640245085</v>
      </c>
      <c r="D143" s="5">
        <f>B143*Simulador!C7</f>
        <v>-1134.2963031423278</v>
      </c>
      <c r="E143" s="5">
        <f t="shared" si="8"/>
        <v>2919.6969433874128</v>
      </c>
      <c r="F143" s="6">
        <v>0</v>
      </c>
      <c r="G143" s="5">
        <f t="shared" si="9"/>
        <v>2919.6969433874128</v>
      </c>
      <c r="H143" s="5">
        <f t="shared" si="10"/>
        <v>-178580.1195897634</v>
      </c>
    </row>
    <row r="144" spans="1:8" x14ac:dyDescent="0.3">
      <c r="A144">
        <v>143</v>
      </c>
      <c r="B144" s="5">
        <f t="shared" si="11"/>
        <v>-178580.1195897634</v>
      </c>
      <c r="C144" s="5">
        <f>Simulador!C11</f>
        <v>1785.400640245085</v>
      </c>
      <c r="D144" s="5">
        <f>B144*Simulador!C7</f>
        <v>-1153.1497329547296</v>
      </c>
      <c r="E144" s="5">
        <f t="shared" si="8"/>
        <v>2938.5503731998147</v>
      </c>
      <c r="F144" s="6">
        <v>0</v>
      </c>
      <c r="G144" s="5">
        <f t="shared" si="9"/>
        <v>2938.5503731998147</v>
      </c>
      <c r="H144" s="5">
        <f t="shared" si="10"/>
        <v>-181518.66996296321</v>
      </c>
    </row>
    <row r="145" spans="1:8" x14ac:dyDescent="0.3">
      <c r="A145">
        <v>144</v>
      </c>
      <c r="B145" s="5">
        <f t="shared" si="11"/>
        <v>-181518.66996296321</v>
      </c>
      <c r="C145" s="5">
        <f>Simulador!C11</f>
        <v>1785.400640245085</v>
      </c>
      <c r="D145" s="5">
        <f>B145*Simulador!C7</f>
        <v>-1172.1249054762493</v>
      </c>
      <c r="E145" s="5">
        <f t="shared" si="8"/>
        <v>2957.5255457213343</v>
      </c>
      <c r="F145" s="6">
        <v>0</v>
      </c>
      <c r="G145" s="5">
        <f t="shared" si="9"/>
        <v>2957.5255457213343</v>
      </c>
      <c r="H145" s="5">
        <f t="shared" si="10"/>
        <v>-184476.19550868453</v>
      </c>
    </row>
    <row r="146" spans="1:8" x14ac:dyDescent="0.3">
      <c r="A146">
        <v>145</v>
      </c>
      <c r="B146" s="5">
        <f t="shared" si="11"/>
        <v>-184476.19550868453</v>
      </c>
      <c r="C146" s="5">
        <f>Simulador!C11</f>
        <v>1785.400640245085</v>
      </c>
      <c r="D146" s="5">
        <f>B146*Simulador!C7</f>
        <v>-1191.2226068390321</v>
      </c>
      <c r="E146" s="5">
        <f t="shared" si="8"/>
        <v>2976.6232470841169</v>
      </c>
      <c r="F146" s="6">
        <v>0</v>
      </c>
      <c r="G146" s="5">
        <f t="shared" si="9"/>
        <v>2976.6232470841169</v>
      </c>
      <c r="H146" s="5">
        <f t="shared" si="10"/>
        <v>-187452.81875576865</v>
      </c>
    </row>
    <row r="147" spans="1:8" x14ac:dyDescent="0.3">
      <c r="A147">
        <v>146</v>
      </c>
      <c r="B147" s="5">
        <f t="shared" si="11"/>
        <v>-187452.81875576865</v>
      </c>
      <c r="C147" s="5">
        <f>Simulador!C11</f>
        <v>1785.400640245085</v>
      </c>
      <c r="D147" s="5">
        <f>B147*Simulador!C7</f>
        <v>-1210.4436282515335</v>
      </c>
      <c r="E147" s="5">
        <f t="shared" si="8"/>
        <v>2995.8442684966185</v>
      </c>
      <c r="F147" s="6">
        <v>0</v>
      </c>
      <c r="G147" s="5">
        <f t="shared" si="9"/>
        <v>2995.8442684966185</v>
      </c>
      <c r="H147" s="5">
        <f t="shared" si="10"/>
        <v>-190448.66302426526</v>
      </c>
    </row>
    <row r="148" spans="1:8" x14ac:dyDescent="0.3">
      <c r="A148">
        <v>147</v>
      </c>
      <c r="B148" s="5">
        <f t="shared" si="11"/>
        <v>-190448.66302426526</v>
      </c>
      <c r="C148" s="5">
        <f>Simulador!C11</f>
        <v>1785.400640245085</v>
      </c>
      <c r="D148" s="5">
        <f>B148*Simulador!C7</f>
        <v>-1229.7887660312981</v>
      </c>
      <c r="E148" s="5">
        <f t="shared" si="8"/>
        <v>3015.1894062763831</v>
      </c>
      <c r="F148" s="6">
        <v>0</v>
      </c>
      <c r="G148" s="5">
        <f t="shared" si="9"/>
        <v>3015.1894062763831</v>
      </c>
      <c r="H148" s="5">
        <f t="shared" si="10"/>
        <v>-193463.85243054165</v>
      </c>
    </row>
    <row r="149" spans="1:8" x14ac:dyDescent="0.3">
      <c r="A149">
        <v>148</v>
      </c>
      <c r="B149" s="5">
        <f t="shared" si="11"/>
        <v>-193463.85243054165</v>
      </c>
      <c r="C149" s="5">
        <f>Simulador!C11</f>
        <v>1785.400640245085</v>
      </c>
      <c r="D149" s="5">
        <f>B149*Simulador!C7</f>
        <v>-1249.2588216379518</v>
      </c>
      <c r="E149" s="5">
        <f t="shared" si="8"/>
        <v>3034.6594618830368</v>
      </c>
      <c r="F149" s="6">
        <v>0</v>
      </c>
      <c r="G149" s="5">
        <f t="shared" si="9"/>
        <v>3034.6594618830368</v>
      </c>
      <c r="H149" s="5">
        <f t="shared" si="10"/>
        <v>-196498.51189242469</v>
      </c>
    </row>
    <row r="150" spans="1:8" x14ac:dyDescent="0.3">
      <c r="A150">
        <v>149</v>
      </c>
      <c r="B150" s="5">
        <f t="shared" si="11"/>
        <v>-196498.51189242469</v>
      </c>
      <c r="C150" s="5">
        <f>Simulador!C11</f>
        <v>1785.400640245085</v>
      </c>
      <c r="D150" s="5">
        <f>B150*Simulador!C7</f>
        <v>-1268.8546017064043</v>
      </c>
      <c r="E150" s="5">
        <f t="shared" si="8"/>
        <v>3054.2552419514896</v>
      </c>
      <c r="F150" s="6">
        <v>0</v>
      </c>
      <c r="G150" s="5">
        <f t="shared" si="9"/>
        <v>3054.2552419514896</v>
      </c>
      <c r="H150" s="5">
        <f t="shared" si="10"/>
        <v>-199552.76713437619</v>
      </c>
    </row>
    <row r="151" spans="1:8" x14ac:dyDescent="0.3">
      <c r="A151">
        <v>150</v>
      </c>
      <c r="B151" s="5">
        <f t="shared" si="11"/>
        <v>-199552.76713437619</v>
      </c>
      <c r="C151" s="5">
        <f>Simulador!C11</f>
        <v>1785.400640245085</v>
      </c>
      <c r="D151" s="5">
        <f>B151*Simulador!C7</f>
        <v>-1288.5769180802693</v>
      </c>
      <c r="E151" s="5">
        <f t="shared" si="8"/>
        <v>3073.977558325354</v>
      </c>
      <c r="F151" s="6">
        <v>0</v>
      </c>
      <c r="G151" s="5">
        <f t="shared" si="9"/>
        <v>3073.977558325354</v>
      </c>
      <c r="H151" s="5">
        <f t="shared" si="10"/>
        <v>-202626.74469270156</v>
      </c>
    </row>
    <row r="152" spans="1:8" x14ac:dyDescent="0.3">
      <c r="A152">
        <v>151</v>
      </c>
      <c r="B152" s="5">
        <f t="shared" si="11"/>
        <v>-202626.74469270156</v>
      </c>
      <c r="C152" s="5">
        <f>Simulador!C11</f>
        <v>1785.400640245085</v>
      </c>
      <c r="D152" s="5">
        <f>B152*Simulador!C7</f>
        <v>-1308.4265878454974</v>
      </c>
      <c r="E152" s="5">
        <f t="shared" si="8"/>
        <v>3093.8272280905821</v>
      </c>
      <c r="F152" s="6">
        <v>0</v>
      </c>
      <c r="G152" s="5">
        <f t="shared" si="9"/>
        <v>3093.8272280905821</v>
      </c>
      <c r="H152" s="5">
        <f t="shared" si="10"/>
        <v>-205720.57192079214</v>
      </c>
    </row>
    <row r="153" spans="1:8" x14ac:dyDescent="0.3">
      <c r="A153">
        <v>152</v>
      </c>
      <c r="B153" s="5">
        <f t="shared" si="11"/>
        <v>-205720.57192079214</v>
      </c>
      <c r="C153" s="5">
        <f>Simulador!C11</f>
        <v>1785.400640245085</v>
      </c>
      <c r="D153" s="5">
        <f>B153*Simulador!C7</f>
        <v>-1328.4044333642278</v>
      </c>
      <c r="E153" s="5">
        <f t="shared" si="8"/>
        <v>3113.8050736093128</v>
      </c>
      <c r="F153" s="6">
        <v>0</v>
      </c>
      <c r="G153" s="5">
        <f t="shared" si="9"/>
        <v>3113.8050736093128</v>
      </c>
      <c r="H153" s="5">
        <f t="shared" si="10"/>
        <v>-208834.37699440145</v>
      </c>
    </row>
    <row r="154" spans="1:8" x14ac:dyDescent="0.3">
      <c r="A154">
        <v>153</v>
      </c>
      <c r="B154" s="5">
        <f t="shared" si="11"/>
        <v>-208834.37699440145</v>
      </c>
      <c r="C154" s="5">
        <f>Simulador!C11</f>
        <v>1785.400640245085</v>
      </c>
      <c r="D154" s="5">
        <f>B154*Simulador!C7</f>
        <v>-1348.5112823088598</v>
      </c>
      <c r="E154" s="5">
        <f t="shared" si="8"/>
        <v>3133.9119225539448</v>
      </c>
      <c r="F154" s="6">
        <v>0</v>
      </c>
      <c r="G154" s="5">
        <f t="shared" si="9"/>
        <v>3133.9119225539448</v>
      </c>
      <c r="H154" s="5">
        <f t="shared" si="10"/>
        <v>-211968.28891695538</v>
      </c>
    </row>
    <row r="155" spans="1:8" x14ac:dyDescent="0.3">
      <c r="A155">
        <v>154</v>
      </c>
      <c r="B155" s="5">
        <f t="shared" si="11"/>
        <v>-211968.28891695538</v>
      </c>
      <c r="C155" s="5">
        <f>Simulador!C11</f>
        <v>1785.400640245085</v>
      </c>
      <c r="D155" s="5">
        <f>B155*Simulador!C7</f>
        <v>-1368.7479676963403</v>
      </c>
      <c r="E155" s="5">
        <f t="shared" si="8"/>
        <v>3154.1486079414253</v>
      </c>
      <c r="F155" s="6">
        <v>0</v>
      </c>
      <c r="G155" s="5">
        <f t="shared" si="9"/>
        <v>3154.1486079414253</v>
      </c>
      <c r="H155" s="5">
        <f t="shared" si="10"/>
        <v>-215122.43752489681</v>
      </c>
    </row>
    <row r="156" spans="1:8" x14ac:dyDescent="0.3">
      <c r="A156">
        <v>155</v>
      </c>
      <c r="B156" s="5">
        <f t="shared" si="11"/>
        <v>-215122.43752489681</v>
      </c>
      <c r="C156" s="5">
        <f>Simulador!C11</f>
        <v>1785.400640245085</v>
      </c>
      <c r="D156" s="5">
        <f>B156*Simulador!C7</f>
        <v>-1389.115327922678</v>
      </c>
      <c r="E156" s="5">
        <f t="shared" si="8"/>
        <v>3174.5159681677633</v>
      </c>
      <c r="F156" s="6">
        <v>0</v>
      </c>
      <c r="G156" s="5">
        <f t="shared" si="9"/>
        <v>3174.5159681677633</v>
      </c>
      <c r="H156" s="5">
        <f t="shared" si="10"/>
        <v>-218296.95349306459</v>
      </c>
    </row>
    <row r="157" spans="1:8" x14ac:dyDescent="0.3">
      <c r="A157">
        <v>156</v>
      </c>
      <c r="B157" s="5">
        <f t="shared" si="11"/>
        <v>-218296.95349306459</v>
      </c>
      <c r="C157" s="5">
        <f>Simulador!C11</f>
        <v>1785.400640245085</v>
      </c>
      <c r="D157" s="5">
        <f>B157*Simulador!C7</f>
        <v>-1409.6142067976759</v>
      </c>
      <c r="E157" s="5">
        <f t="shared" si="8"/>
        <v>3195.0148470427612</v>
      </c>
      <c r="F157" s="6">
        <v>0</v>
      </c>
      <c r="G157" s="5">
        <f t="shared" si="9"/>
        <v>3195.0148470427612</v>
      </c>
      <c r="H157" s="5">
        <f t="shared" si="10"/>
        <v>-221491.96834010736</v>
      </c>
    </row>
    <row r="158" spans="1:8" x14ac:dyDescent="0.3">
      <c r="A158">
        <v>157</v>
      </c>
      <c r="B158" s="5">
        <f t="shared" si="11"/>
        <v>-221491.96834010736</v>
      </c>
      <c r="C158" s="5">
        <f>Simulador!C11</f>
        <v>1785.400640245085</v>
      </c>
      <c r="D158" s="5">
        <f>B158*Simulador!C7</f>
        <v>-1430.2454535798904</v>
      </c>
      <c r="E158" s="5">
        <f t="shared" si="8"/>
        <v>3215.6460938249757</v>
      </c>
      <c r="F158" s="6">
        <v>0</v>
      </c>
      <c r="G158" s="5">
        <f t="shared" si="9"/>
        <v>3215.6460938249757</v>
      </c>
      <c r="H158" s="5">
        <f t="shared" si="10"/>
        <v>-224707.61443393232</v>
      </c>
    </row>
    <row r="159" spans="1:8" x14ac:dyDescent="0.3">
      <c r="A159">
        <v>158</v>
      </c>
      <c r="B159" s="5">
        <f t="shared" si="11"/>
        <v>-224707.61443393232</v>
      </c>
      <c r="C159" s="5">
        <f>Simulador!C11</f>
        <v>1785.400640245085</v>
      </c>
      <c r="D159" s="5">
        <f>B159*Simulador!C7</f>
        <v>-1451.0099230118155</v>
      </c>
      <c r="E159" s="5">
        <f t="shared" si="8"/>
        <v>3236.4105632569008</v>
      </c>
      <c r="F159" s="6">
        <v>0</v>
      </c>
      <c r="G159" s="5">
        <f t="shared" si="9"/>
        <v>3236.4105632569008</v>
      </c>
      <c r="H159" s="5">
        <f t="shared" si="10"/>
        <v>-227944.02499718923</v>
      </c>
    </row>
    <row r="160" spans="1:8" x14ac:dyDescent="0.3">
      <c r="A160">
        <v>159</v>
      </c>
      <c r="B160" s="5">
        <f t="shared" si="11"/>
        <v>-227944.02499718923</v>
      </c>
      <c r="C160" s="5">
        <f>Simulador!C11</f>
        <v>1785.400640245085</v>
      </c>
      <c r="D160" s="5">
        <f>B160*Simulador!C7</f>
        <v>-1471.9084753552954</v>
      </c>
      <c r="E160" s="5">
        <f t="shared" si="8"/>
        <v>3257.3091156003802</v>
      </c>
      <c r="F160" s="6">
        <v>0</v>
      </c>
      <c r="G160" s="5">
        <f t="shared" si="9"/>
        <v>3257.3091156003802</v>
      </c>
      <c r="H160" s="5">
        <f t="shared" si="10"/>
        <v>-231201.33411278963</v>
      </c>
    </row>
    <row r="161" spans="1:8" x14ac:dyDescent="0.3">
      <c r="A161">
        <v>160</v>
      </c>
      <c r="B161" s="5">
        <f t="shared" si="11"/>
        <v>-231201.33411278963</v>
      </c>
      <c r="C161" s="5">
        <f>Simulador!C11</f>
        <v>1785.400640245085</v>
      </c>
      <c r="D161" s="5">
        <f>B161*Simulador!C7</f>
        <v>-1492.9419764271634</v>
      </c>
      <c r="E161" s="5">
        <f t="shared" si="8"/>
        <v>3278.3426166722484</v>
      </c>
      <c r="F161" s="6">
        <v>0</v>
      </c>
      <c r="G161" s="5">
        <f t="shared" si="9"/>
        <v>3278.3426166722484</v>
      </c>
      <c r="H161" s="5">
        <f t="shared" si="10"/>
        <v>-234479.67672946188</v>
      </c>
    </row>
    <row r="162" spans="1:8" x14ac:dyDescent="0.3">
      <c r="A162">
        <v>161</v>
      </c>
      <c r="B162" s="5">
        <f t="shared" si="11"/>
        <v>-234479.67672946188</v>
      </c>
      <c r="C162" s="5">
        <f>Simulador!C11</f>
        <v>1785.400640245085</v>
      </c>
      <c r="D162" s="5">
        <f>B162*Simulador!C7</f>
        <v>-1514.1112976351128</v>
      </c>
      <c r="E162" s="5">
        <f t="shared" si="8"/>
        <v>3299.5119378801978</v>
      </c>
      <c r="F162" s="6">
        <v>0</v>
      </c>
      <c r="G162" s="5">
        <f t="shared" si="9"/>
        <v>3299.5119378801978</v>
      </c>
      <c r="H162" s="5">
        <f t="shared" si="10"/>
        <v>-237779.18866734207</v>
      </c>
    </row>
    <row r="163" spans="1:8" x14ac:dyDescent="0.3">
      <c r="A163">
        <v>162</v>
      </c>
      <c r="B163" s="5">
        <f t="shared" si="11"/>
        <v>-237779.18866734207</v>
      </c>
      <c r="C163" s="5">
        <f>Simulador!C11</f>
        <v>1785.400640245085</v>
      </c>
      <c r="D163" s="5">
        <f>B163*Simulador!C7</f>
        <v>-1535.4173160137991</v>
      </c>
      <c r="E163" s="5">
        <f t="shared" si="8"/>
        <v>3320.8179562588839</v>
      </c>
      <c r="F163" s="6">
        <v>0</v>
      </c>
      <c r="G163" s="5">
        <f t="shared" si="9"/>
        <v>3320.8179562588839</v>
      </c>
      <c r="H163" s="5">
        <f t="shared" si="10"/>
        <v>-241100.00662360096</v>
      </c>
    </row>
    <row r="164" spans="1:8" x14ac:dyDescent="0.3">
      <c r="A164">
        <v>163</v>
      </c>
      <c r="B164" s="5">
        <f t="shared" si="11"/>
        <v>-241100.00662360096</v>
      </c>
      <c r="C164" s="5">
        <f>Simulador!C11</f>
        <v>1785.400640245085</v>
      </c>
      <c r="D164" s="5">
        <f>B164*Simulador!C7</f>
        <v>-1556.8609142611749</v>
      </c>
      <c r="E164" s="5">
        <f t="shared" si="8"/>
        <v>3342.2615545062599</v>
      </c>
      <c r="F164" s="6">
        <v>0</v>
      </c>
      <c r="G164" s="5">
        <f t="shared" si="9"/>
        <v>3342.2615545062599</v>
      </c>
      <c r="H164" s="5">
        <f t="shared" si="10"/>
        <v>-244442.26817810722</v>
      </c>
    </row>
    <row r="165" spans="1:8" x14ac:dyDescent="0.3">
      <c r="A165">
        <v>164</v>
      </c>
      <c r="B165" s="5">
        <f t="shared" si="11"/>
        <v>-244442.26817810722</v>
      </c>
      <c r="C165" s="5">
        <f>Simulador!C11</f>
        <v>1785.400640245085</v>
      </c>
      <c r="D165" s="5">
        <f>B165*Simulador!C7</f>
        <v>-1578.4429807750594</v>
      </c>
      <c r="E165" s="5">
        <f t="shared" si="8"/>
        <v>3363.8436210201444</v>
      </c>
      <c r="F165" s="6">
        <v>0</v>
      </c>
      <c r="G165" s="5">
        <f t="shared" si="9"/>
        <v>3363.8436210201444</v>
      </c>
      <c r="H165" s="5">
        <f t="shared" si="10"/>
        <v>-247806.11179912736</v>
      </c>
    </row>
    <row r="166" spans="1:8" x14ac:dyDescent="0.3">
      <c r="A166">
        <v>165</v>
      </c>
      <c r="B166" s="5">
        <f t="shared" si="11"/>
        <v>-247806.11179912736</v>
      </c>
      <c r="C166" s="5">
        <f>Simulador!C11</f>
        <v>1785.400640245085</v>
      </c>
      <c r="D166" s="5">
        <f>B166*Simulador!C7</f>
        <v>-1600.1644096899454</v>
      </c>
      <c r="E166" s="5">
        <f t="shared" si="8"/>
        <v>3385.5650499350304</v>
      </c>
      <c r="F166" s="6">
        <v>0</v>
      </c>
      <c r="G166" s="5">
        <f t="shared" si="9"/>
        <v>3385.5650499350304</v>
      </c>
      <c r="H166" s="5">
        <f t="shared" si="10"/>
        <v>-251191.67684906238</v>
      </c>
    </row>
    <row r="167" spans="1:8" x14ac:dyDescent="0.3">
      <c r="A167">
        <v>166</v>
      </c>
      <c r="B167" s="5">
        <f t="shared" si="11"/>
        <v>-251191.67684906238</v>
      </c>
      <c r="C167" s="5">
        <f>Simulador!C11</f>
        <v>1785.400640245085</v>
      </c>
      <c r="D167" s="5">
        <f>B167*Simulador!C7</f>
        <v>-1622.0261009140406</v>
      </c>
      <c r="E167" s="5">
        <f t="shared" si="8"/>
        <v>3407.4267411591254</v>
      </c>
      <c r="F167" s="6">
        <v>0</v>
      </c>
      <c r="G167" s="5">
        <f t="shared" si="9"/>
        <v>3407.4267411591254</v>
      </c>
      <c r="H167" s="5">
        <f t="shared" si="10"/>
        <v>-254599.10359022149</v>
      </c>
    </row>
    <row r="168" spans="1:8" x14ac:dyDescent="0.3">
      <c r="A168">
        <v>167</v>
      </c>
      <c r="B168" s="5">
        <f t="shared" si="11"/>
        <v>-254599.10359022149</v>
      </c>
      <c r="C168" s="5">
        <f>Simulador!C11</f>
        <v>1785.400640245085</v>
      </c>
      <c r="D168" s="5">
        <f>B168*Simulador!C7</f>
        <v>-1644.0289601665534</v>
      </c>
      <c r="E168" s="5">
        <f t="shared" si="8"/>
        <v>3429.4296004116386</v>
      </c>
      <c r="F168" s="6">
        <v>0</v>
      </c>
      <c r="G168" s="5">
        <f t="shared" si="9"/>
        <v>3429.4296004116386</v>
      </c>
      <c r="H168" s="5">
        <f t="shared" si="10"/>
        <v>-258028.53319063314</v>
      </c>
    </row>
    <row r="169" spans="1:8" x14ac:dyDescent="0.3">
      <c r="A169">
        <v>168</v>
      </c>
      <c r="B169" s="5">
        <f t="shared" si="11"/>
        <v>-258028.53319063314</v>
      </c>
      <c r="C169" s="5">
        <f>Simulador!C11</f>
        <v>1785.400640245085</v>
      </c>
      <c r="D169" s="5">
        <f>B169*Simulador!C7</f>
        <v>-1666.1738990152135</v>
      </c>
      <c r="E169" s="5">
        <f t="shared" si="8"/>
        <v>3451.5745392602985</v>
      </c>
      <c r="F169" s="6">
        <v>0</v>
      </c>
      <c r="G169" s="5">
        <f t="shared" si="9"/>
        <v>3451.5745392602985</v>
      </c>
      <c r="H169" s="5">
        <f t="shared" si="10"/>
        <v>-261480.10772989344</v>
      </c>
    </row>
    <row r="170" spans="1:8" x14ac:dyDescent="0.3">
      <c r="A170">
        <v>169</v>
      </c>
      <c r="B170" s="5">
        <f t="shared" si="11"/>
        <v>-261480.10772989344</v>
      </c>
      <c r="C170" s="5">
        <f>Simulador!C11</f>
        <v>1785.400640245085</v>
      </c>
      <c r="D170" s="5">
        <f>B170*Simulador!C7</f>
        <v>-1688.4618349140396</v>
      </c>
      <c r="E170" s="5">
        <f t="shared" si="8"/>
        <v>3473.8624751591246</v>
      </c>
      <c r="F170" s="6">
        <v>0</v>
      </c>
      <c r="G170" s="5">
        <f t="shared" si="9"/>
        <v>3473.8624751591246</v>
      </c>
      <c r="H170" s="5">
        <f t="shared" si="10"/>
        <v>-264953.97020505258</v>
      </c>
    </row>
    <row r="171" spans="1:8" x14ac:dyDescent="0.3">
      <c r="A171">
        <v>170</v>
      </c>
      <c r="B171" s="5">
        <f t="shared" si="11"/>
        <v>-264953.97020505258</v>
      </c>
      <c r="C171" s="5">
        <f>Simulador!C11</f>
        <v>1785.400640245085</v>
      </c>
      <c r="D171" s="5">
        <f>B171*Simulador!C7</f>
        <v>-1710.8936912413485</v>
      </c>
      <c r="E171" s="5">
        <f t="shared" si="8"/>
        <v>3496.2943314864333</v>
      </c>
      <c r="F171" s="6">
        <v>0</v>
      </c>
      <c r="G171" s="5">
        <f t="shared" si="9"/>
        <v>3496.2943314864333</v>
      </c>
      <c r="H171" s="5">
        <f t="shared" si="10"/>
        <v>-268450.26453653903</v>
      </c>
    </row>
    <row r="172" spans="1:8" x14ac:dyDescent="0.3">
      <c r="A172">
        <v>171</v>
      </c>
      <c r="B172" s="5">
        <f t="shared" si="11"/>
        <v>-268450.26453653903</v>
      </c>
      <c r="C172" s="5">
        <f>Simulador!C11</f>
        <v>1785.400640245085</v>
      </c>
      <c r="D172" s="5">
        <f>B172*Simulador!C7</f>
        <v>-1733.4703973380099</v>
      </c>
      <c r="E172" s="5">
        <f t="shared" si="8"/>
        <v>3518.8710375830951</v>
      </c>
      <c r="F172" s="6">
        <v>0</v>
      </c>
      <c r="G172" s="5">
        <f t="shared" si="9"/>
        <v>3518.8710375830951</v>
      </c>
      <c r="H172" s="5">
        <f t="shared" si="10"/>
        <v>-271969.13557412213</v>
      </c>
    </row>
    <row r="173" spans="1:8" x14ac:dyDescent="0.3">
      <c r="A173">
        <v>172</v>
      </c>
      <c r="B173" s="5">
        <f t="shared" si="11"/>
        <v>-271969.13557412213</v>
      </c>
      <c r="C173" s="5">
        <f>Simulador!C11</f>
        <v>1785.400640245085</v>
      </c>
      <c r="D173" s="5">
        <f>B173*Simulador!C7</f>
        <v>-1756.192888545949</v>
      </c>
      <c r="E173" s="5">
        <f t="shared" si="8"/>
        <v>3541.5935287910343</v>
      </c>
      <c r="F173" s="6">
        <v>0</v>
      </c>
      <c r="G173" s="5">
        <f t="shared" si="9"/>
        <v>3541.5935287910343</v>
      </c>
      <c r="H173" s="5">
        <f t="shared" si="10"/>
        <v>-275510.72910291317</v>
      </c>
    </row>
    <row r="174" spans="1:8" x14ac:dyDescent="0.3">
      <c r="A174">
        <v>173</v>
      </c>
      <c r="B174" s="5">
        <f t="shared" si="11"/>
        <v>-275510.72910291317</v>
      </c>
      <c r="C174" s="5">
        <f>Simulador!C11</f>
        <v>1785.400640245085</v>
      </c>
      <c r="D174" s="5">
        <f>B174*Simulador!C7</f>
        <v>-1779.0621062468967</v>
      </c>
      <c r="E174" s="5">
        <f t="shared" si="8"/>
        <v>3564.4627464919818</v>
      </c>
      <c r="F174" s="6">
        <v>0</v>
      </c>
      <c r="G174" s="5">
        <f t="shared" si="9"/>
        <v>3564.4627464919818</v>
      </c>
      <c r="H174" s="5">
        <f t="shared" si="10"/>
        <v>-279075.19184940518</v>
      </c>
    </row>
    <row r="175" spans="1:8" x14ac:dyDescent="0.3">
      <c r="A175">
        <v>174</v>
      </c>
      <c r="B175" s="5">
        <f t="shared" si="11"/>
        <v>-279075.19184940518</v>
      </c>
      <c r="C175" s="5">
        <f>Simulador!C11</f>
        <v>1785.400640245085</v>
      </c>
      <c r="D175" s="5">
        <f>B175*Simulador!C7</f>
        <v>-1802.0789979013916</v>
      </c>
      <c r="E175" s="5">
        <f t="shared" si="8"/>
        <v>3587.4796381464766</v>
      </c>
      <c r="F175" s="6">
        <v>0</v>
      </c>
      <c r="G175" s="5">
        <f t="shared" si="9"/>
        <v>3587.4796381464766</v>
      </c>
      <c r="H175" s="5">
        <f t="shared" si="10"/>
        <v>-282662.67148755165</v>
      </c>
    </row>
    <row r="176" spans="1:8" x14ac:dyDescent="0.3">
      <c r="A176">
        <v>175</v>
      </c>
      <c r="B176" s="5">
        <f t="shared" si="11"/>
        <v>-282662.67148755165</v>
      </c>
      <c r="C176" s="5">
        <f>Simulador!C11</f>
        <v>1785.400640245085</v>
      </c>
      <c r="D176" s="5">
        <f>B176*Simulador!C7</f>
        <v>-1825.2445170880317</v>
      </c>
      <c r="E176" s="5">
        <f t="shared" si="8"/>
        <v>3610.6451573331169</v>
      </c>
      <c r="F176" s="6">
        <v>0</v>
      </c>
      <c r="G176" s="5">
        <f t="shared" si="9"/>
        <v>3610.6451573331169</v>
      </c>
      <c r="H176" s="5">
        <f t="shared" si="10"/>
        <v>-286273.31664488476</v>
      </c>
    </row>
    <row r="177" spans="1:8" x14ac:dyDescent="0.3">
      <c r="A177">
        <v>176</v>
      </c>
      <c r="B177" s="5">
        <f t="shared" si="11"/>
        <v>-286273.31664488476</v>
      </c>
      <c r="C177" s="5">
        <f>Simulador!C11</f>
        <v>1785.400640245085</v>
      </c>
      <c r="D177" s="5">
        <f>B177*Simulador!C7</f>
        <v>-1848.5596235429814</v>
      </c>
      <c r="E177" s="5">
        <f t="shared" si="8"/>
        <v>3633.9602637880662</v>
      </c>
      <c r="F177" s="6">
        <v>0</v>
      </c>
      <c r="G177" s="5">
        <f t="shared" si="9"/>
        <v>3633.9602637880662</v>
      </c>
      <c r="H177" s="5">
        <f t="shared" si="10"/>
        <v>-289907.27690867282</v>
      </c>
    </row>
    <row r="178" spans="1:8" x14ac:dyDescent="0.3">
      <c r="A178">
        <v>177</v>
      </c>
      <c r="B178" s="5">
        <f t="shared" si="11"/>
        <v>-289907.27690867282</v>
      </c>
      <c r="C178" s="5">
        <f>Simulador!C11</f>
        <v>1785.400640245085</v>
      </c>
      <c r="D178" s="5">
        <f>B178*Simulador!C7</f>
        <v>-1872.0252831997325</v>
      </c>
      <c r="E178" s="5">
        <f t="shared" si="8"/>
        <v>3657.4259234448173</v>
      </c>
      <c r="F178" s="6">
        <v>0</v>
      </c>
      <c r="G178" s="5">
        <f t="shared" si="9"/>
        <v>3657.4259234448173</v>
      </c>
      <c r="H178" s="5">
        <f t="shared" si="10"/>
        <v>-293564.70283211762</v>
      </c>
    </row>
    <row r="179" spans="1:8" x14ac:dyDescent="0.3">
      <c r="A179">
        <v>178</v>
      </c>
      <c r="B179" s="5">
        <f t="shared" si="11"/>
        <v>-293564.70283211762</v>
      </c>
      <c r="C179" s="5">
        <f>Simulador!C11</f>
        <v>1785.400640245085</v>
      </c>
      <c r="D179" s="5">
        <f>B179*Simulador!C7</f>
        <v>-1895.6424682291226</v>
      </c>
      <c r="E179" s="5">
        <f t="shared" si="8"/>
        <v>3681.0431084742077</v>
      </c>
      <c r="F179" s="6">
        <v>0</v>
      </c>
      <c r="G179" s="5">
        <f t="shared" si="9"/>
        <v>3681.0431084742077</v>
      </c>
      <c r="H179" s="5">
        <f t="shared" si="10"/>
        <v>-297245.74594059185</v>
      </c>
    </row>
    <row r="180" spans="1:8" x14ac:dyDescent="0.3">
      <c r="A180">
        <v>179</v>
      </c>
      <c r="B180" s="5">
        <f t="shared" si="11"/>
        <v>-297245.74594059185</v>
      </c>
      <c r="C180" s="5">
        <f>Simulador!C11</f>
        <v>1785.400640245085</v>
      </c>
      <c r="D180" s="5">
        <f>B180*Simulador!C7</f>
        <v>-1919.4121570796121</v>
      </c>
      <c r="E180" s="5">
        <f t="shared" si="8"/>
        <v>3704.8127973246974</v>
      </c>
      <c r="F180" s="6">
        <v>0</v>
      </c>
      <c r="G180" s="5">
        <f t="shared" si="9"/>
        <v>3704.8127973246974</v>
      </c>
      <c r="H180" s="5">
        <f t="shared" si="10"/>
        <v>-300950.55873791652</v>
      </c>
    </row>
    <row r="181" spans="1:8" x14ac:dyDescent="0.3">
      <c r="A181">
        <v>180</v>
      </c>
      <c r="B181" s="5">
        <f t="shared" si="11"/>
        <v>-300950.55873791652</v>
      </c>
      <c r="C181" s="5">
        <f>Simulador!C11</f>
        <v>1785.400640245085</v>
      </c>
      <c r="D181" s="5">
        <f>B181*Simulador!C7</f>
        <v>-1943.3353345178198</v>
      </c>
      <c r="E181" s="5">
        <f t="shared" si="8"/>
        <v>3728.7359747629048</v>
      </c>
      <c r="F181" s="6">
        <v>0</v>
      </c>
      <c r="G181" s="5">
        <f t="shared" si="9"/>
        <v>3728.7359747629048</v>
      </c>
      <c r="H181" s="5">
        <f t="shared" si="10"/>
        <v>-304679.2947126794</v>
      </c>
    </row>
    <row r="182" spans="1:8" x14ac:dyDescent="0.3">
      <c r="A182">
        <v>181</v>
      </c>
      <c r="B182" s="5">
        <f t="shared" si="11"/>
        <v>-304679.2947126794</v>
      </c>
      <c r="C182" s="5">
        <f>Simulador!C11</f>
        <v>1785.400640245085</v>
      </c>
      <c r="D182" s="5">
        <f>B182*Simulador!C7</f>
        <v>-1967.4129916693214</v>
      </c>
      <c r="E182" s="5">
        <f t="shared" si="8"/>
        <v>3752.8136319144064</v>
      </c>
      <c r="F182" s="6">
        <v>0</v>
      </c>
      <c r="G182" s="5">
        <f t="shared" si="9"/>
        <v>3752.8136319144064</v>
      </c>
      <c r="H182" s="5">
        <f t="shared" si="10"/>
        <v>-308432.10834459378</v>
      </c>
    </row>
    <row r="183" spans="1:8" x14ac:dyDescent="0.3">
      <c r="A183">
        <v>182</v>
      </c>
      <c r="B183" s="5">
        <f t="shared" si="11"/>
        <v>-308432.10834459378</v>
      </c>
      <c r="C183" s="5">
        <f>Simulador!C11</f>
        <v>1785.400640245085</v>
      </c>
      <c r="D183" s="5">
        <f>B183*Simulador!C7</f>
        <v>-1991.646126059713</v>
      </c>
      <c r="E183" s="5">
        <f t="shared" si="8"/>
        <v>3777.046766304798</v>
      </c>
      <c r="F183" s="6">
        <v>0</v>
      </c>
      <c r="G183" s="5">
        <f t="shared" si="9"/>
        <v>3777.046766304798</v>
      </c>
      <c r="H183" s="5">
        <f t="shared" si="10"/>
        <v>-312209.1551108986</v>
      </c>
    </row>
    <row r="184" spans="1:8" x14ac:dyDescent="0.3">
      <c r="A184">
        <v>183</v>
      </c>
      <c r="B184" s="5">
        <f t="shared" si="11"/>
        <v>-312209.1551108986</v>
      </c>
      <c r="C184" s="5">
        <f>Simulador!C11</f>
        <v>1785.400640245085</v>
      </c>
      <c r="D184" s="5">
        <f>B184*Simulador!C7</f>
        <v>-2016.0357416559364</v>
      </c>
      <c r="E184" s="5">
        <f t="shared" si="8"/>
        <v>3801.4363819010214</v>
      </c>
      <c r="F184" s="6">
        <v>0</v>
      </c>
      <c r="G184" s="5">
        <f t="shared" si="9"/>
        <v>3801.4363819010214</v>
      </c>
      <c r="H184" s="5">
        <f t="shared" si="10"/>
        <v>-316010.59149279963</v>
      </c>
    </row>
    <row r="185" spans="1:8" x14ac:dyDescent="0.3">
      <c r="A185">
        <v>184</v>
      </c>
      <c r="B185" s="5">
        <f t="shared" si="11"/>
        <v>-316010.59149279963</v>
      </c>
      <c r="C185" s="5">
        <f>Simulador!C11</f>
        <v>1785.400640245085</v>
      </c>
      <c r="D185" s="5">
        <f>B185*Simulador!C7</f>
        <v>-2040.5828489078729</v>
      </c>
      <c r="E185" s="5">
        <f t="shared" si="8"/>
        <v>3825.9834891529581</v>
      </c>
      <c r="F185" s="6">
        <v>0</v>
      </c>
      <c r="G185" s="5">
        <f t="shared" si="9"/>
        <v>3825.9834891529581</v>
      </c>
      <c r="H185" s="5">
        <f t="shared" si="10"/>
        <v>-319836.57498195261</v>
      </c>
    </row>
    <row r="186" spans="1:8" x14ac:dyDescent="0.3">
      <c r="A186">
        <v>185</v>
      </c>
      <c r="B186" s="5">
        <f t="shared" si="11"/>
        <v>-319836.57498195261</v>
      </c>
      <c r="C186" s="5">
        <f>Simulador!C11</f>
        <v>1785.400640245085</v>
      </c>
      <c r="D186" s="5">
        <f>B186*Simulador!C7</f>
        <v>-2065.2884647902069</v>
      </c>
      <c r="E186" s="5">
        <f t="shared" si="8"/>
        <v>3850.689105035292</v>
      </c>
      <c r="F186" s="6">
        <v>0</v>
      </c>
      <c r="G186" s="5">
        <f t="shared" si="9"/>
        <v>3850.689105035292</v>
      </c>
      <c r="H186" s="5">
        <f t="shared" si="10"/>
        <v>-323687.26408698788</v>
      </c>
    </row>
    <row r="187" spans="1:8" x14ac:dyDescent="0.3">
      <c r="A187">
        <v>186</v>
      </c>
      <c r="B187" s="5">
        <f t="shared" si="11"/>
        <v>-323687.26408698788</v>
      </c>
      <c r="C187" s="5">
        <f>Simulador!C11</f>
        <v>1785.400640245085</v>
      </c>
      <c r="D187" s="5">
        <f>B187*Simulador!C7</f>
        <v>-2090.1536128445573</v>
      </c>
      <c r="E187" s="5">
        <f t="shared" si="8"/>
        <v>3875.5542530896423</v>
      </c>
      <c r="F187" s="6">
        <v>0</v>
      </c>
      <c r="G187" s="5">
        <f t="shared" si="9"/>
        <v>3875.5542530896423</v>
      </c>
      <c r="H187" s="5">
        <f t="shared" si="10"/>
        <v>-327562.81834007753</v>
      </c>
    </row>
    <row r="188" spans="1:8" x14ac:dyDescent="0.3">
      <c r="A188">
        <v>187</v>
      </c>
      <c r="B188" s="5">
        <f t="shared" si="11"/>
        <v>-327562.81834007753</v>
      </c>
      <c r="C188" s="5">
        <f>Simulador!C11</f>
        <v>1785.400640245085</v>
      </c>
      <c r="D188" s="5">
        <f>B188*Simulador!C7</f>
        <v>-2115.1793232218847</v>
      </c>
      <c r="E188" s="5">
        <f t="shared" si="8"/>
        <v>3900.5799634669697</v>
      </c>
      <c r="F188" s="6">
        <v>0</v>
      </c>
      <c r="G188" s="5">
        <f t="shared" si="9"/>
        <v>3900.5799634669697</v>
      </c>
      <c r="H188" s="5">
        <f t="shared" si="10"/>
        <v>-331463.3983035445</v>
      </c>
    </row>
    <row r="189" spans="1:8" x14ac:dyDescent="0.3">
      <c r="A189">
        <v>188</v>
      </c>
      <c r="B189" s="5">
        <f t="shared" si="11"/>
        <v>-331463.3983035445</v>
      </c>
      <c r="C189" s="5">
        <f>Simulador!C11</f>
        <v>1785.400640245085</v>
      </c>
      <c r="D189" s="5">
        <f>B189*Simulador!C7</f>
        <v>-2140.3666327251667</v>
      </c>
      <c r="E189" s="5">
        <f t="shared" si="8"/>
        <v>3925.7672729702517</v>
      </c>
      <c r="F189" s="6">
        <v>0</v>
      </c>
      <c r="G189" s="5">
        <f t="shared" si="9"/>
        <v>3925.7672729702517</v>
      </c>
      <c r="H189" s="5">
        <f t="shared" si="10"/>
        <v>-335389.16557651473</v>
      </c>
    </row>
    <row r="190" spans="1:8" x14ac:dyDescent="0.3">
      <c r="A190">
        <v>189</v>
      </c>
      <c r="B190" s="5">
        <f t="shared" si="11"/>
        <v>-335389.16557651473</v>
      </c>
      <c r="C190" s="5">
        <f>Simulador!C11</f>
        <v>1785.400640245085</v>
      </c>
      <c r="D190" s="5">
        <f>B190*Simulador!C7</f>
        <v>-2165.716584852355</v>
      </c>
      <c r="E190" s="5">
        <f t="shared" si="8"/>
        <v>3951.11722509744</v>
      </c>
      <c r="F190" s="6">
        <v>0</v>
      </c>
      <c r="G190" s="5">
        <f t="shared" si="9"/>
        <v>3951.11722509744</v>
      </c>
      <c r="H190" s="5">
        <f t="shared" si="10"/>
        <v>-339340.28280161216</v>
      </c>
    </row>
    <row r="191" spans="1:8" x14ac:dyDescent="0.3">
      <c r="A191">
        <v>190</v>
      </c>
      <c r="B191" s="5">
        <f t="shared" si="11"/>
        <v>-339340.28280161216</v>
      </c>
      <c r="C191" s="5">
        <f>Simulador!C11</f>
        <v>1785.400640245085</v>
      </c>
      <c r="D191" s="5">
        <f>B191*Simulador!C7</f>
        <v>-2191.2302298396053</v>
      </c>
      <c r="E191" s="5">
        <f t="shared" si="8"/>
        <v>3976.6308700846903</v>
      </c>
      <c r="F191" s="6">
        <v>0</v>
      </c>
      <c r="G191" s="5">
        <f t="shared" si="9"/>
        <v>3976.6308700846903</v>
      </c>
      <c r="H191" s="5">
        <f t="shared" si="10"/>
        <v>-343316.91367169685</v>
      </c>
    </row>
    <row r="192" spans="1:8" x14ac:dyDescent="0.3">
      <c r="A192">
        <v>191</v>
      </c>
      <c r="B192" s="5">
        <f t="shared" si="11"/>
        <v>-343316.91367169685</v>
      </c>
      <c r="C192" s="5">
        <f>Simulador!C11</f>
        <v>1785.400640245085</v>
      </c>
      <c r="D192" s="5">
        <f>B192*Simulador!C7</f>
        <v>-2216.9086247047894</v>
      </c>
      <c r="E192" s="5">
        <f t="shared" si="8"/>
        <v>4002.3092649498744</v>
      </c>
      <c r="F192" s="6">
        <v>0</v>
      </c>
      <c r="G192" s="5">
        <f t="shared" si="9"/>
        <v>4002.3092649498744</v>
      </c>
      <c r="H192" s="5">
        <f t="shared" si="10"/>
        <v>-347319.22293664672</v>
      </c>
    </row>
    <row r="193" spans="1:8" x14ac:dyDescent="0.3">
      <c r="A193">
        <v>192</v>
      </c>
      <c r="B193" s="5">
        <f t="shared" si="11"/>
        <v>-347319.22293664672</v>
      </c>
      <c r="C193" s="5">
        <f>Simulador!C11</f>
        <v>1785.400640245085</v>
      </c>
      <c r="D193" s="5">
        <f>B193*Simulador!C7</f>
        <v>-2242.7528332912848</v>
      </c>
      <c r="E193" s="5">
        <f t="shared" si="8"/>
        <v>4028.1534735363698</v>
      </c>
      <c r="F193" s="6">
        <v>0</v>
      </c>
      <c r="G193" s="5">
        <f t="shared" si="9"/>
        <v>4028.1534735363698</v>
      </c>
      <c r="H193" s="5">
        <f t="shared" si="10"/>
        <v>-351347.37641018309</v>
      </c>
    </row>
    <row r="194" spans="1:8" x14ac:dyDescent="0.3">
      <c r="A194">
        <v>193</v>
      </c>
      <c r="B194" s="5">
        <f t="shared" si="11"/>
        <v>-351347.37641018309</v>
      </c>
      <c r="C194" s="5">
        <f>Simulador!C11</f>
        <v>1785.400640245085</v>
      </c>
      <c r="D194" s="5">
        <f>B194*Simulador!C7</f>
        <v>-2268.7639263120523</v>
      </c>
      <c r="E194" s="5">
        <f t="shared" ref="E194:E257" si="12">C194-D194</f>
        <v>4054.1645665571373</v>
      </c>
      <c r="F194" s="6">
        <v>0</v>
      </c>
      <c r="G194" s="5">
        <f t="shared" ref="G194:G257" si="13">E194+F194</f>
        <v>4054.1645665571373</v>
      </c>
      <c r="H194" s="5">
        <f t="shared" ref="H194:H257" si="14">B194-G194</f>
        <v>-355401.54097674025</v>
      </c>
    </row>
    <row r="195" spans="1:8" x14ac:dyDescent="0.3">
      <c r="A195">
        <v>194</v>
      </c>
      <c r="B195" s="5">
        <f t="shared" ref="B195:B258" si="15">H194</f>
        <v>-355401.54097674025</v>
      </c>
      <c r="C195" s="5">
        <f>Simulador!C11</f>
        <v>1785.400640245085</v>
      </c>
      <c r="D195" s="5">
        <f>B195*Simulador!C7</f>
        <v>-2294.9429813939928</v>
      </c>
      <c r="E195" s="5">
        <f t="shared" si="12"/>
        <v>4080.3436216390778</v>
      </c>
      <c r="F195" s="6">
        <v>0</v>
      </c>
      <c r="G195" s="5">
        <f t="shared" si="13"/>
        <v>4080.3436216390778</v>
      </c>
      <c r="H195" s="5">
        <f t="shared" si="14"/>
        <v>-359481.88459837931</v>
      </c>
    </row>
    <row r="196" spans="1:8" x14ac:dyDescent="0.3">
      <c r="A196">
        <v>195</v>
      </c>
      <c r="B196" s="5">
        <f t="shared" si="15"/>
        <v>-359481.88459837931</v>
      </c>
      <c r="C196" s="5">
        <f>Simulador!C11</f>
        <v>1785.400640245085</v>
      </c>
      <c r="D196" s="5">
        <f>B196*Simulador!C7</f>
        <v>-2321.2910831225927</v>
      </c>
      <c r="E196" s="5">
        <f t="shared" si="12"/>
        <v>4106.6917233676777</v>
      </c>
      <c r="F196" s="6">
        <v>0</v>
      </c>
      <c r="G196" s="5">
        <f t="shared" si="13"/>
        <v>4106.6917233676777</v>
      </c>
      <c r="H196" s="5">
        <f t="shared" si="14"/>
        <v>-363588.57632174698</v>
      </c>
    </row>
    <row r="197" spans="1:8" x14ac:dyDescent="0.3">
      <c r="A197">
        <v>196</v>
      </c>
      <c r="B197" s="5">
        <f t="shared" si="15"/>
        <v>-363588.57632174698</v>
      </c>
      <c r="C197" s="5">
        <f>Simulador!C11</f>
        <v>1785.400640245085</v>
      </c>
      <c r="D197" s="5">
        <f>B197*Simulador!C7</f>
        <v>-2347.8093230868594</v>
      </c>
      <c r="E197" s="5">
        <f t="shared" si="12"/>
        <v>4133.2099633319449</v>
      </c>
      <c r="F197" s="6">
        <v>0</v>
      </c>
      <c r="G197" s="5">
        <f t="shared" si="13"/>
        <v>4133.2099633319449</v>
      </c>
      <c r="H197" s="5">
        <f t="shared" si="14"/>
        <v>-367721.78628507891</v>
      </c>
    </row>
    <row r="198" spans="1:8" x14ac:dyDescent="0.3">
      <c r="A198">
        <v>197</v>
      </c>
      <c r="B198" s="5">
        <f t="shared" si="15"/>
        <v>-367721.78628507891</v>
      </c>
      <c r="C198" s="5">
        <f>Simulador!C11</f>
        <v>1785.400640245085</v>
      </c>
      <c r="D198" s="5">
        <f>B198*Simulador!C7</f>
        <v>-2374.498799924545</v>
      </c>
      <c r="E198" s="5">
        <f t="shared" si="12"/>
        <v>4159.89944016963</v>
      </c>
      <c r="F198" s="6">
        <v>0</v>
      </c>
      <c r="G198" s="5">
        <f t="shared" si="13"/>
        <v>4159.89944016963</v>
      </c>
      <c r="H198" s="5">
        <f t="shared" si="14"/>
        <v>-371881.68572524854</v>
      </c>
    </row>
    <row r="199" spans="1:8" x14ac:dyDescent="0.3">
      <c r="A199">
        <v>198</v>
      </c>
      <c r="B199" s="5">
        <f t="shared" si="15"/>
        <v>-371881.68572524854</v>
      </c>
      <c r="C199" s="5">
        <f>Simulador!C11</f>
        <v>1785.400640245085</v>
      </c>
      <c r="D199" s="5">
        <f>B199*Simulador!C7</f>
        <v>-2401.3606193676601</v>
      </c>
      <c r="E199" s="5">
        <f t="shared" si="12"/>
        <v>4186.7612596127456</v>
      </c>
      <c r="F199" s="6">
        <v>0</v>
      </c>
      <c r="G199" s="5">
        <f t="shared" si="13"/>
        <v>4186.7612596127456</v>
      </c>
      <c r="H199" s="5">
        <f t="shared" si="14"/>
        <v>-376068.44698486128</v>
      </c>
    </row>
    <row r="200" spans="1:8" x14ac:dyDescent="0.3">
      <c r="A200">
        <v>199</v>
      </c>
      <c r="B200" s="5">
        <f t="shared" si="15"/>
        <v>-376068.44698486128</v>
      </c>
      <c r="C200" s="5">
        <f>Simulador!C11</f>
        <v>1785.400640245085</v>
      </c>
      <c r="D200" s="5">
        <f>B200*Simulador!C7</f>
        <v>-2428.3958942882869</v>
      </c>
      <c r="E200" s="5">
        <f t="shared" si="12"/>
        <v>4213.7965345333723</v>
      </c>
      <c r="F200" s="6">
        <v>0</v>
      </c>
      <c r="G200" s="5">
        <f t="shared" si="13"/>
        <v>4213.7965345333723</v>
      </c>
      <c r="H200" s="5">
        <f t="shared" si="14"/>
        <v>-380282.24351939466</v>
      </c>
    </row>
    <row r="201" spans="1:8" x14ac:dyDescent="0.3">
      <c r="A201">
        <v>200</v>
      </c>
      <c r="B201" s="5">
        <f t="shared" si="15"/>
        <v>-380282.24351939466</v>
      </c>
      <c r="C201" s="5">
        <f>Simulador!C11</f>
        <v>1785.400640245085</v>
      </c>
      <c r="D201" s="5">
        <f>B201*Simulador!C7</f>
        <v>-2455.6057447446824</v>
      </c>
      <c r="E201" s="5">
        <f t="shared" si="12"/>
        <v>4241.006384989767</v>
      </c>
      <c r="F201" s="6">
        <v>0</v>
      </c>
      <c r="G201" s="5">
        <f t="shared" si="13"/>
        <v>4241.006384989767</v>
      </c>
      <c r="H201" s="5">
        <f t="shared" si="14"/>
        <v>-384523.24990438443</v>
      </c>
    </row>
    <row r="202" spans="1:8" x14ac:dyDescent="0.3">
      <c r="A202">
        <v>201</v>
      </c>
      <c r="B202" s="5">
        <f t="shared" si="15"/>
        <v>-384523.24990438443</v>
      </c>
      <c r="C202" s="5">
        <f>Simulador!C11</f>
        <v>1785.400640245085</v>
      </c>
      <c r="D202" s="5">
        <f>B202*Simulador!C7</f>
        <v>-2482.991298027684</v>
      </c>
      <c r="E202" s="5">
        <f t="shared" si="12"/>
        <v>4268.391938272769</v>
      </c>
      <c r="F202" s="6">
        <v>0</v>
      </c>
      <c r="G202" s="5">
        <f t="shared" si="13"/>
        <v>4268.391938272769</v>
      </c>
      <c r="H202" s="5">
        <f t="shared" si="14"/>
        <v>-388791.64184265718</v>
      </c>
    </row>
    <row r="203" spans="1:8" x14ac:dyDescent="0.3">
      <c r="A203">
        <v>202</v>
      </c>
      <c r="B203" s="5">
        <f t="shared" si="15"/>
        <v>-388791.64184265718</v>
      </c>
      <c r="C203" s="5">
        <f>Simulador!C11</f>
        <v>1785.400640245085</v>
      </c>
      <c r="D203" s="5">
        <f>B203*Simulador!C7</f>
        <v>-2510.5536887074104</v>
      </c>
      <c r="E203" s="5">
        <f t="shared" si="12"/>
        <v>4295.9543289524954</v>
      </c>
      <c r="F203" s="6">
        <v>0</v>
      </c>
      <c r="G203" s="5">
        <f t="shared" si="13"/>
        <v>4295.9543289524954</v>
      </c>
      <c r="H203" s="5">
        <f t="shared" si="14"/>
        <v>-393087.59617160965</v>
      </c>
    </row>
    <row r="204" spans="1:8" x14ac:dyDescent="0.3">
      <c r="A204">
        <v>203</v>
      </c>
      <c r="B204" s="5">
        <f t="shared" si="15"/>
        <v>-393087.59617160965</v>
      </c>
      <c r="C204" s="5">
        <f>Simulador!C11</f>
        <v>1785.400640245085</v>
      </c>
      <c r="D204" s="5">
        <f>B204*Simulador!C7</f>
        <v>-2538.2940586802683</v>
      </c>
      <c r="E204" s="5">
        <f t="shared" si="12"/>
        <v>4323.6946989253538</v>
      </c>
      <c r="F204" s="6">
        <v>0</v>
      </c>
      <c r="G204" s="5">
        <f t="shared" si="13"/>
        <v>4323.6946989253538</v>
      </c>
      <c r="H204" s="5">
        <f t="shared" si="14"/>
        <v>-397411.29087053501</v>
      </c>
    </row>
    <row r="205" spans="1:8" x14ac:dyDescent="0.3">
      <c r="A205">
        <v>204</v>
      </c>
      <c r="B205" s="5">
        <f t="shared" si="15"/>
        <v>-397411.29087053501</v>
      </c>
      <c r="C205" s="5">
        <f>Simulador!C11</f>
        <v>1785.400640245085</v>
      </c>
      <c r="D205" s="5">
        <f>B205*Simulador!C7</f>
        <v>-2566.2135572162597</v>
      </c>
      <c r="E205" s="5">
        <f t="shared" si="12"/>
        <v>4351.6141974613447</v>
      </c>
      <c r="F205" s="6">
        <v>0</v>
      </c>
      <c r="G205" s="5">
        <f t="shared" si="13"/>
        <v>4351.6141974613447</v>
      </c>
      <c r="H205" s="5">
        <f t="shared" si="14"/>
        <v>-401762.90506799635</v>
      </c>
    </row>
    <row r="206" spans="1:8" x14ac:dyDescent="0.3">
      <c r="A206">
        <v>205</v>
      </c>
      <c r="B206" s="5">
        <f t="shared" si="15"/>
        <v>-401762.90506799635</v>
      </c>
      <c r="C206" s="5">
        <f>Simulador!C11</f>
        <v>1785.400640245085</v>
      </c>
      <c r="D206" s="5">
        <f>B206*Simulador!C7</f>
        <v>-2594.3133410065948</v>
      </c>
      <c r="E206" s="5">
        <f t="shared" si="12"/>
        <v>4379.7139812516798</v>
      </c>
      <c r="F206" s="6">
        <v>0</v>
      </c>
      <c r="G206" s="5">
        <f t="shared" si="13"/>
        <v>4379.7139812516798</v>
      </c>
      <c r="H206" s="5">
        <f t="shared" si="14"/>
        <v>-406142.61904924805</v>
      </c>
    </row>
    <row r="207" spans="1:8" x14ac:dyDescent="0.3">
      <c r="A207">
        <v>206</v>
      </c>
      <c r="B207" s="5">
        <f t="shared" si="15"/>
        <v>-406142.61904924805</v>
      </c>
      <c r="C207" s="5">
        <f>Simulador!C11</f>
        <v>1785.400640245085</v>
      </c>
      <c r="D207" s="5">
        <f>B207*Simulador!C7</f>
        <v>-2622.5945742116151</v>
      </c>
      <c r="E207" s="5">
        <f t="shared" si="12"/>
        <v>4407.9952144566996</v>
      </c>
      <c r="F207" s="6">
        <v>0</v>
      </c>
      <c r="G207" s="5">
        <f t="shared" si="13"/>
        <v>4407.9952144566996</v>
      </c>
      <c r="H207" s="5">
        <f t="shared" si="14"/>
        <v>-410550.61426370475</v>
      </c>
    </row>
    <row r="208" spans="1:8" x14ac:dyDescent="0.3">
      <c r="A208">
        <v>207</v>
      </c>
      <c r="B208" s="5">
        <f t="shared" si="15"/>
        <v>-410550.61426370475</v>
      </c>
      <c r="C208" s="5">
        <f>Simulador!C11</f>
        <v>1785.400640245085</v>
      </c>
      <c r="D208" s="5">
        <f>B208*Simulador!C7</f>
        <v>-2651.0584285090217</v>
      </c>
      <c r="E208" s="5">
        <f t="shared" si="12"/>
        <v>4436.4590687541067</v>
      </c>
      <c r="F208" s="6">
        <v>0</v>
      </c>
      <c r="G208" s="5">
        <f t="shared" si="13"/>
        <v>4436.4590687541067</v>
      </c>
      <c r="H208" s="5">
        <f t="shared" si="14"/>
        <v>-414987.07333245885</v>
      </c>
    </row>
    <row r="209" spans="1:8" x14ac:dyDescent="0.3">
      <c r="A209">
        <v>208</v>
      </c>
      <c r="B209" s="5">
        <f t="shared" si="15"/>
        <v>-414987.07333245885</v>
      </c>
      <c r="C209" s="5">
        <f>Simulador!C11</f>
        <v>1785.400640245085</v>
      </c>
      <c r="D209" s="5">
        <f>B209*Simulador!C7</f>
        <v>-2679.7060831424192</v>
      </c>
      <c r="E209" s="5">
        <f t="shared" si="12"/>
        <v>4465.1067233875037</v>
      </c>
      <c r="F209" s="6">
        <v>0</v>
      </c>
      <c r="G209" s="5">
        <f t="shared" si="13"/>
        <v>4465.1067233875037</v>
      </c>
      <c r="H209" s="5">
        <f t="shared" si="14"/>
        <v>-419452.18005584634</v>
      </c>
    </row>
    <row r="210" spans="1:8" x14ac:dyDescent="0.3">
      <c r="A210">
        <v>209</v>
      </c>
      <c r="B210" s="5">
        <f t="shared" si="15"/>
        <v>-419452.18005584634</v>
      </c>
      <c r="C210" s="5">
        <f>Simulador!C11</f>
        <v>1785.400640245085</v>
      </c>
      <c r="D210" s="5">
        <f>B210*Simulador!C7</f>
        <v>-2708.5387249701707</v>
      </c>
      <c r="E210" s="5">
        <f t="shared" si="12"/>
        <v>4493.9393652152557</v>
      </c>
      <c r="F210" s="6">
        <v>0</v>
      </c>
      <c r="G210" s="5">
        <f t="shared" si="13"/>
        <v>4493.9393652152557</v>
      </c>
      <c r="H210" s="5">
        <f t="shared" si="14"/>
        <v>-423946.11942106159</v>
      </c>
    </row>
    <row r="211" spans="1:8" x14ac:dyDescent="0.3">
      <c r="A211">
        <v>210</v>
      </c>
      <c r="B211" s="5">
        <f t="shared" si="15"/>
        <v>-423946.11942106159</v>
      </c>
      <c r="C211" s="5">
        <f>Simulador!C11</f>
        <v>1785.400640245085</v>
      </c>
      <c r="D211" s="5">
        <f>B211*Simulador!C7</f>
        <v>-2737.5575485145682</v>
      </c>
      <c r="E211" s="5">
        <f t="shared" si="12"/>
        <v>4522.9581887596532</v>
      </c>
      <c r="F211" s="6">
        <v>0</v>
      </c>
      <c r="G211" s="5">
        <f t="shared" si="13"/>
        <v>4522.9581887596532</v>
      </c>
      <c r="H211" s="5">
        <f t="shared" si="14"/>
        <v>-428469.07760982122</v>
      </c>
    </row>
    <row r="212" spans="1:8" x14ac:dyDescent="0.3">
      <c r="A212">
        <v>211</v>
      </c>
      <c r="B212" s="5">
        <f t="shared" si="15"/>
        <v>-428469.07760982122</v>
      </c>
      <c r="C212" s="5">
        <f>Simulador!C11</f>
        <v>1785.400640245085</v>
      </c>
      <c r="D212" s="5">
        <f>B212*Simulador!C7</f>
        <v>-2766.7637560113208</v>
      </c>
      <c r="E212" s="5">
        <f t="shared" si="12"/>
        <v>4552.1643962564058</v>
      </c>
      <c r="F212" s="6">
        <v>0</v>
      </c>
      <c r="G212" s="5">
        <f t="shared" si="13"/>
        <v>4552.1643962564058</v>
      </c>
      <c r="H212" s="5">
        <f t="shared" si="14"/>
        <v>-433021.24200607761</v>
      </c>
    </row>
    <row r="213" spans="1:8" x14ac:dyDescent="0.3">
      <c r="A213">
        <v>212</v>
      </c>
      <c r="B213" s="5">
        <f t="shared" si="15"/>
        <v>-433021.24200607761</v>
      </c>
      <c r="C213" s="5">
        <f>Simulador!C11</f>
        <v>1785.400640245085</v>
      </c>
      <c r="D213" s="5">
        <f>B213*Simulador!C7</f>
        <v>-2796.1585574593651</v>
      </c>
      <c r="E213" s="5">
        <f t="shared" si="12"/>
        <v>4581.5591977044496</v>
      </c>
      <c r="F213" s="6">
        <v>0</v>
      </c>
      <c r="G213" s="5">
        <f t="shared" si="13"/>
        <v>4581.5591977044496</v>
      </c>
      <c r="H213" s="5">
        <f t="shared" si="14"/>
        <v>-437602.80120378203</v>
      </c>
    </row>
    <row r="214" spans="1:8" x14ac:dyDescent="0.3">
      <c r="A214">
        <v>213</v>
      </c>
      <c r="B214" s="5">
        <f t="shared" si="15"/>
        <v>-437602.80120378203</v>
      </c>
      <c r="C214" s="5">
        <f>Simulador!C11</f>
        <v>1785.400640245085</v>
      </c>
      <c r="D214" s="5">
        <f>B214*Simulador!C7</f>
        <v>-2825.7431706709913</v>
      </c>
      <c r="E214" s="5">
        <f t="shared" si="12"/>
        <v>4611.1438109160763</v>
      </c>
      <c r="F214" s="6">
        <v>0</v>
      </c>
      <c r="G214" s="5">
        <f t="shared" si="13"/>
        <v>4611.1438109160763</v>
      </c>
      <c r="H214" s="5">
        <f t="shared" si="14"/>
        <v>-442213.94501469808</v>
      </c>
    </row>
    <row r="215" spans="1:8" x14ac:dyDescent="0.3">
      <c r="A215">
        <v>214</v>
      </c>
      <c r="B215" s="5">
        <f t="shared" si="15"/>
        <v>-442213.94501469808</v>
      </c>
      <c r="C215" s="5">
        <f>Simulador!C11</f>
        <v>1785.400640245085</v>
      </c>
      <c r="D215" s="5">
        <f>B215*Simulador!C7</f>
        <v>-2855.5188213223</v>
      </c>
      <c r="E215" s="5">
        <f t="shared" si="12"/>
        <v>4640.919461567385</v>
      </c>
      <c r="F215" s="6">
        <v>0</v>
      </c>
      <c r="G215" s="5">
        <f t="shared" si="13"/>
        <v>4640.919461567385</v>
      </c>
      <c r="H215" s="5">
        <f t="shared" si="14"/>
        <v>-446854.86447626544</v>
      </c>
    </row>
    <row r="216" spans="1:8" x14ac:dyDescent="0.3">
      <c r="A216">
        <v>215</v>
      </c>
      <c r="B216" s="5">
        <f t="shared" si="15"/>
        <v>-446854.86447626544</v>
      </c>
      <c r="C216" s="5">
        <f>Simulador!C11</f>
        <v>1785.400640245085</v>
      </c>
      <c r="D216" s="5">
        <f>B216*Simulador!C7</f>
        <v>-2885.4867430039785</v>
      </c>
      <c r="E216" s="5">
        <f t="shared" si="12"/>
        <v>4670.8873832490635</v>
      </c>
      <c r="F216" s="6">
        <v>0</v>
      </c>
      <c r="G216" s="5">
        <f t="shared" si="13"/>
        <v>4670.8873832490635</v>
      </c>
      <c r="H216" s="5">
        <f t="shared" si="14"/>
        <v>-451525.75185951451</v>
      </c>
    </row>
    <row r="217" spans="1:8" x14ac:dyDescent="0.3">
      <c r="A217">
        <v>216</v>
      </c>
      <c r="B217" s="5">
        <f t="shared" si="15"/>
        <v>-451525.75185951451</v>
      </c>
      <c r="C217" s="5">
        <f>Simulador!C11</f>
        <v>1785.400640245085</v>
      </c>
      <c r="D217" s="5">
        <f>B217*Simulador!C7</f>
        <v>-2915.6481772724101</v>
      </c>
      <c r="E217" s="5">
        <f t="shared" si="12"/>
        <v>4701.0488175174951</v>
      </c>
      <c r="F217" s="6">
        <v>0</v>
      </c>
      <c r="G217" s="5">
        <f t="shared" si="13"/>
        <v>4701.0488175174951</v>
      </c>
      <c r="H217" s="5">
        <f t="shared" si="14"/>
        <v>-456226.80067703198</v>
      </c>
    </row>
    <row r="218" spans="1:8" x14ac:dyDescent="0.3">
      <c r="A218">
        <v>217</v>
      </c>
      <c r="B218" s="5">
        <f t="shared" si="15"/>
        <v>-456226.80067703198</v>
      </c>
      <c r="C218" s="5">
        <f>Simulador!C11</f>
        <v>1785.400640245085</v>
      </c>
      <c r="D218" s="5">
        <f>B218*Simulador!C7</f>
        <v>-2946.0043737011088</v>
      </c>
      <c r="E218" s="5">
        <f t="shared" si="12"/>
        <v>4731.4050139461942</v>
      </c>
      <c r="F218" s="6">
        <v>0</v>
      </c>
      <c r="G218" s="5">
        <f t="shared" si="13"/>
        <v>4731.4050139461942</v>
      </c>
      <c r="H218" s="5">
        <f t="shared" si="14"/>
        <v>-460958.20569097815</v>
      </c>
    </row>
    <row r="219" spans="1:8" x14ac:dyDescent="0.3">
      <c r="A219">
        <v>218</v>
      </c>
      <c r="B219" s="5">
        <f t="shared" si="15"/>
        <v>-460958.20569097815</v>
      </c>
      <c r="C219" s="5">
        <f>Simulador!C11</f>
        <v>1785.400640245085</v>
      </c>
      <c r="D219" s="5">
        <f>B219*Simulador!C7</f>
        <v>-2976.556589932492</v>
      </c>
      <c r="E219" s="5">
        <f t="shared" si="12"/>
        <v>4761.957230177577</v>
      </c>
      <c r="F219" s="6">
        <v>0</v>
      </c>
      <c r="G219" s="5">
        <f t="shared" si="13"/>
        <v>4761.957230177577</v>
      </c>
      <c r="H219" s="5">
        <f t="shared" si="14"/>
        <v>-465720.16292115574</v>
      </c>
    </row>
    <row r="220" spans="1:8" x14ac:dyDescent="0.3">
      <c r="A220">
        <v>219</v>
      </c>
      <c r="B220" s="5">
        <f t="shared" si="15"/>
        <v>-465720.16292115574</v>
      </c>
      <c r="C220" s="5">
        <f>Simulador!C11</f>
        <v>1785.400640245085</v>
      </c>
      <c r="D220" s="5">
        <f>B220*Simulador!C7</f>
        <v>-3007.3060917299804</v>
      </c>
      <c r="E220" s="5">
        <f t="shared" si="12"/>
        <v>4792.7067319750658</v>
      </c>
      <c r="F220" s="6">
        <v>0</v>
      </c>
      <c r="G220" s="5">
        <f t="shared" si="13"/>
        <v>4792.7067319750658</v>
      </c>
      <c r="H220" s="5">
        <f t="shared" si="14"/>
        <v>-470512.86965313082</v>
      </c>
    </row>
    <row r="221" spans="1:8" x14ac:dyDescent="0.3">
      <c r="A221">
        <v>220</v>
      </c>
      <c r="B221" s="5">
        <f t="shared" si="15"/>
        <v>-470512.86965313082</v>
      </c>
      <c r="C221" s="5">
        <f>Simulador!C11</f>
        <v>1785.400640245085</v>
      </c>
      <c r="D221" s="5">
        <f>B221*Simulador!C7</f>
        <v>-3038.2541530304402</v>
      </c>
      <c r="E221" s="5">
        <f t="shared" si="12"/>
        <v>4823.6547932755257</v>
      </c>
      <c r="F221" s="6">
        <v>0</v>
      </c>
      <c r="G221" s="5">
        <f t="shared" si="13"/>
        <v>4823.6547932755257</v>
      </c>
      <c r="H221" s="5">
        <f t="shared" si="14"/>
        <v>-475336.52444640634</v>
      </c>
    </row>
    <row r="222" spans="1:8" x14ac:dyDescent="0.3">
      <c r="A222">
        <v>221</v>
      </c>
      <c r="B222" s="5">
        <f t="shared" si="15"/>
        <v>-475336.52444640634</v>
      </c>
      <c r="C222" s="5">
        <f>Simulador!C11</f>
        <v>1785.400640245085</v>
      </c>
      <c r="D222" s="5">
        <f>B222*Simulador!C7</f>
        <v>-3069.4020559969599</v>
      </c>
      <c r="E222" s="5">
        <f t="shared" si="12"/>
        <v>4854.8026962420445</v>
      </c>
      <c r="F222" s="6">
        <v>0</v>
      </c>
      <c r="G222" s="5">
        <f t="shared" si="13"/>
        <v>4854.8026962420445</v>
      </c>
      <c r="H222" s="5">
        <f t="shared" si="14"/>
        <v>-480191.3271426484</v>
      </c>
    </row>
    <row r="223" spans="1:8" x14ac:dyDescent="0.3">
      <c r="A223">
        <v>222</v>
      </c>
      <c r="B223" s="5">
        <f t="shared" si="15"/>
        <v>-480191.3271426484</v>
      </c>
      <c r="C223" s="5">
        <f>Simulador!C11</f>
        <v>1785.400640245085</v>
      </c>
      <c r="D223" s="5">
        <f>B223*Simulador!C7</f>
        <v>-3100.7510910719725</v>
      </c>
      <c r="E223" s="5">
        <f t="shared" si="12"/>
        <v>4886.1517313170571</v>
      </c>
      <c r="F223" s="6">
        <v>0</v>
      </c>
      <c r="G223" s="5">
        <f t="shared" si="13"/>
        <v>4886.1517313170571</v>
      </c>
      <c r="H223" s="5">
        <f t="shared" si="14"/>
        <v>-485077.47887396545</v>
      </c>
    </row>
    <row r="224" spans="1:8" x14ac:dyDescent="0.3">
      <c r="A224">
        <v>223</v>
      </c>
      <c r="B224" s="5">
        <f t="shared" si="15"/>
        <v>-485077.47887396545</v>
      </c>
      <c r="C224" s="5">
        <f>Simulador!C11</f>
        <v>1785.400640245085</v>
      </c>
      <c r="D224" s="5">
        <f>B224*Simulador!C7</f>
        <v>-3132.302557030715</v>
      </c>
      <c r="E224" s="5">
        <f t="shared" si="12"/>
        <v>4917.7031972757995</v>
      </c>
      <c r="F224" s="6">
        <v>0</v>
      </c>
      <c r="G224" s="5">
        <f t="shared" si="13"/>
        <v>4917.7031972757995</v>
      </c>
      <c r="H224" s="5">
        <f t="shared" si="14"/>
        <v>-489995.18207124126</v>
      </c>
    </row>
    <row r="225" spans="1:8" x14ac:dyDescent="0.3">
      <c r="A225">
        <v>224</v>
      </c>
      <c r="B225" s="5">
        <f t="shared" si="15"/>
        <v>-489995.18207124126</v>
      </c>
      <c r="C225" s="5">
        <f>Simulador!C11</f>
        <v>1785.400640245085</v>
      </c>
      <c r="D225" s="5">
        <f>B225*Simulador!C7</f>
        <v>-3164.0577610350369</v>
      </c>
      <c r="E225" s="5">
        <f t="shared" si="12"/>
        <v>4949.4584012801224</v>
      </c>
      <c r="F225" s="6">
        <v>0</v>
      </c>
      <c r="G225" s="5">
        <f t="shared" si="13"/>
        <v>4949.4584012801224</v>
      </c>
      <c r="H225" s="5">
        <f t="shared" si="14"/>
        <v>-494944.64047252137</v>
      </c>
    </row>
    <row r="226" spans="1:8" x14ac:dyDescent="0.3">
      <c r="A226">
        <v>225</v>
      </c>
      <c r="B226" s="5">
        <f t="shared" si="15"/>
        <v>-494944.64047252137</v>
      </c>
      <c r="C226" s="5">
        <f>Simulador!C11</f>
        <v>1785.400640245085</v>
      </c>
      <c r="D226" s="5">
        <f>B226*Simulador!C7</f>
        <v>-3196.0180186875573</v>
      </c>
      <c r="E226" s="5">
        <f t="shared" si="12"/>
        <v>4981.4186589326418</v>
      </c>
      <c r="F226" s="6">
        <v>0</v>
      </c>
      <c r="G226" s="5">
        <f t="shared" si="13"/>
        <v>4981.4186589326418</v>
      </c>
      <c r="H226" s="5">
        <f t="shared" si="14"/>
        <v>-499926.05913145398</v>
      </c>
    </row>
    <row r="227" spans="1:8" x14ac:dyDescent="0.3">
      <c r="A227">
        <v>226</v>
      </c>
      <c r="B227" s="5">
        <f t="shared" si="15"/>
        <v>-499926.05913145398</v>
      </c>
      <c r="C227" s="5">
        <f>Simulador!C11</f>
        <v>1785.400640245085</v>
      </c>
      <c r="D227" s="5">
        <f>B227*Simulador!C7</f>
        <v>-3228.1846540861661</v>
      </c>
      <c r="E227" s="5">
        <f t="shared" si="12"/>
        <v>5013.5852943312511</v>
      </c>
      <c r="F227" s="6">
        <v>0</v>
      </c>
      <c r="G227" s="5">
        <f t="shared" si="13"/>
        <v>5013.5852943312511</v>
      </c>
      <c r="H227" s="5">
        <f t="shared" si="14"/>
        <v>-504939.64442578523</v>
      </c>
    </row>
    <row r="228" spans="1:8" x14ac:dyDescent="0.3">
      <c r="A228">
        <v>227</v>
      </c>
      <c r="B228" s="5">
        <f t="shared" si="15"/>
        <v>-504939.64442578523</v>
      </c>
      <c r="C228" s="5">
        <f>Simulador!C11</f>
        <v>1785.400640245085</v>
      </c>
      <c r="D228" s="5">
        <f>B228*Simulador!C7</f>
        <v>-3260.5589998788832</v>
      </c>
      <c r="E228" s="5">
        <f t="shared" si="12"/>
        <v>5045.9596401239687</v>
      </c>
      <c r="F228" s="6">
        <v>0</v>
      </c>
      <c r="G228" s="5">
        <f t="shared" si="13"/>
        <v>5045.9596401239687</v>
      </c>
      <c r="H228" s="5">
        <f t="shared" si="14"/>
        <v>-509985.60406590917</v>
      </c>
    </row>
    <row r="229" spans="1:8" x14ac:dyDescent="0.3">
      <c r="A229">
        <v>228</v>
      </c>
      <c r="B229" s="5">
        <f t="shared" si="15"/>
        <v>-509985.60406590917</v>
      </c>
      <c r="C229" s="5">
        <f>Simulador!C11</f>
        <v>1785.400640245085</v>
      </c>
      <c r="D229" s="5">
        <f>B229*Simulador!C7</f>
        <v>-3293.1423973190699</v>
      </c>
      <c r="E229" s="5">
        <f t="shared" si="12"/>
        <v>5078.5430375641554</v>
      </c>
      <c r="F229" s="6">
        <v>0</v>
      </c>
      <c r="G229" s="5">
        <f t="shared" si="13"/>
        <v>5078.5430375641554</v>
      </c>
      <c r="H229" s="5">
        <f t="shared" si="14"/>
        <v>-515064.14710347331</v>
      </c>
    </row>
    <row r="230" spans="1:8" x14ac:dyDescent="0.3">
      <c r="A230">
        <v>229</v>
      </c>
      <c r="B230" s="5">
        <f t="shared" si="15"/>
        <v>-515064.14710347331</v>
      </c>
      <c r="C230" s="5">
        <f>Simulador!C11</f>
        <v>1785.400640245085</v>
      </c>
      <c r="D230" s="5">
        <f>B230*Simulador!C7</f>
        <v>-3325.9361963209935</v>
      </c>
      <c r="E230" s="5">
        <f t="shared" si="12"/>
        <v>5111.336836566079</v>
      </c>
      <c r="F230" s="6">
        <v>0</v>
      </c>
      <c r="G230" s="5">
        <f t="shared" si="13"/>
        <v>5111.336836566079</v>
      </c>
      <c r="H230" s="5">
        <f t="shared" si="14"/>
        <v>-520175.48394003941</v>
      </c>
    </row>
    <row r="231" spans="1:8" x14ac:dyDescent="0.3">
      <c r="A231">
        <v>230</v>
      </c>
      <c r="B231" s="5">
        <f t="shared" si="15"/>
        <v>-520175.48394003941</v>
      </c>
      <c r="C231" s="5">
        <f>Simulador!C11</f>
        <v>1785.400640245085</v>
      </c>
      <c r="D231" s="5">
        <f>B231*Simulador!C7</f>
        <v>-3358.941755515757</v>
      </c>
      <c r="E231" s="5">
        <f t="shared" si="12"/>
        <v>5144.342395760842</v>
      </c>
      <c r="F231" s="6">
        <v>0</v>
      </c>
      <c r="G231" s="5">
        <f t="shared" si="13"/>
        <v>5144.342395760842</v>
      </c>
      <c r="H231" s="5">
        <f t="shared" si="14"/>
        <v>-525319.82633580023</v>
      </c>
    </row>
    <row r="232" spans="1:8" x14ac:dyDescent="0.3">
      <c r="A232">
        <v>231</v>
      </c>
      <c r="B232" s="5">
        <f t="shared" si="15"/>
        <v>-525319.82633580023</v>
      </c>
      <c r="C232" s="5">
        <f>Simulador!C11</f>
        <v>1785.400640245085</v>
      </c>
      <c r="D232" s="5">
        <f>B232*Simulador!C7</f>
        <v>-3392.1604423075833</v>
      </c>
      <c r="E232" s="5">
        <f t="shared" si="12"/>
        <v>5177.5610825526683</v>
      </c>
      <c r="F232" s="6">
        <v>0</v>
      </c>
      <c r="G232" s="5">
        <f t="shared" si="13"/>
        <v>5177.5610825526683</v>
      </c>
      <c r="H232" s="5">
        <f t="shared" si="14"/>
        <v>-530497.38741835288</v>
      </c>
    </row>
    <row r="233" spans="1:8" x14ac:dyDescent="0.3">
      <c r="A233">
        <v>232</v>
      </c>
      <c r="B233" s="5">
        <f t="shared" si="15"/>
        <v>-530497.38741835288</v>
      </c>
      <c r="C233" s="5">
        <f>Simulador!C11</f>
        <v>1785.400640245085</v>
      </c>
      <c r="D233" s="5">
        <f>B233*Simulador!C7</f>
        <v>-3425.5936329304695</v>
      </c>
      <c r="E233" s="5">
        <f t="shared" si="12"/>
        <v>5210.9942731755546</v>
      </c>
      <c r="F233" s="6">
        <v>0</v>
      </c>
      <c r="G233" s="5">
        <f t="shared" si="13"/>
        <v>5210.9942731755546</v>
      </c>
      <c r="H233" s="5">
        <f t="shared" si="14"/>
        <v>-535708.38169152848</v>
      </c>
    </row>
    <row r="234" spans="1:8" x14ac:dyDescent="0.3">
      <c r="A234">
        <v>233</v>
      </c>
      <c r="B234" s="5">
        <f t="shared" si="15"/>
        <v>-535708.38169152848</v>
      </c>
      <c r="C234" s="5">
        <f>Simulador!C11</f>
        <v>1785.400640245085</v>
      </c>
      <c r="D234" s="5">
        <f>B234*Simulador!C7</f>
        <v>-3459.2427125052013</v>
      </c>
      <c r="E234" s="5">
        <f t="shared" si="12"/>
        <v>5244.6433527502868</v>
      </c>
      <c r="F234" s="6">
        <v>0</v>
      </c>
      <c r="G234" s="5">
        <f t="shared" si="13"/>
        <v>5244.6433527502868</v>
      </c>
      <c r="H234" s="5">
        <f t="shared" si="14"/>
        <v>-540953.02504427882</v>
      </c>
    </row>
    <row r="235" spans="1:8" x14ac:dyDescent="0.3">
      <c r="A235">
        <v>234</v>
      </c>
      <c r="B235" s="5">
        <f t="shared" si="15"/>
        <v>-540953.02504427882</v>
      </c>
      <c r="C235" s="5">
        <f>Simulador!C11</f>
        <v>1785.400640245085</v>
      </c>
      <c r="D235" s="5">
        <f>B235*Simulador!C7</f>
        <v>-3493.1090750967378</v>
      </c>
      <c r="E235" s="5">
        <f t="shared" si="12"/>
        <v>5278.5097153418228</v>
      </c>
      <c r="F235" s="6">
        <v>0</v>
      </c>
      <c r="G235" s="5">
        <f t="shared" si="13"/>
        <v>5278.5097153418228</v>
      </c>
      <c r="H235" s="5">
        <f t="shared" si="14"/>
        <v>-546231.53475962067</v>
      </c>
    </row>
    <row r="236" spans="1:8" x14ac:dyDescent="0.3">
      <c r="A236">
        <v>235</v>
      </c>
      <c r="B236" s="5">
        <f t="shared" si="15"/>
        <v>-546231.53475962067</v>
      </c>
      <c r="C236" s="5">
        <f>Simulador!C11</f>
        <v>1785.400640245085</v>
      </c>
      <c r="D236" s="5">
        <f>B236*Simulador!C7</f>
        <v>-3527.1941237719675</v>
      </c>
      <c r="E236" s="5">
        <f t="shared" si="12"/>
        <v>5312.5947640170525</v>
      </c>
      <c r="F236" s="6">
        <v>0</v>
      </c>
      <c r="G236" s="5">
        <f t="shared" si="13"/>
        <v>5312.5947640170525</v>
      </c>
      <c r="H236" s="5">
        <f t="shared" si="14"/>
        <v>-551544.1295236377</v>
      </c>
    </row>
    <row r="237" spans="1:8" x14ac:dyDescent="0.3">
      <c r="A237">
        <v>236</v>
      </c>
      <c r="B237" s="5">
        <f t="shared" si="15"/>
        <v>-551544.1295236377</v>
      </c>
      <c r="C237" s="5">
        <f>Simulador!C11</f>
        <v>1785.400640245085</v>
      </c>
      <c r="D237" s="5">
        <f>B237*Simulador!C7</f>
        <v>-3561.4992706578369</v>
      </c>
      <c r="E237" s="5">
        <f t="shared" si="12"/>
        <v>5346.8999109029219</v>
      </c>
      <c r="F237" s="6">
        <v>0</v>
      </c>
      <c r="G237" s="5">
        <f t="shared" si="13"/>
        <v>5346.8999109029219</v>
      </c>
      <c r="H237" s="5">
        <f t="shared" si="14"/>
        <v>-556891.02943454066</v>
      </c>
    </row>
    <row r="238" spans="1:8" x14ac:dyDescent="0.3">
      <c r="A238">
        <v>237</v>
      </c>
      <c r="B238" s="5">
        <f t="shared" si="15"/>
        <v>-556891.02943454066</v>
      </c>
      <c r="C238" s="5">
        <f>Simulador!C11</f>
        <v>1785.400640245085</v>
      </c>
      <c r="D238" s="5">
        <f>B238*Simulador!C7</f>
        <v>-3596.0259369998544</v>
      </c>
      <c r="E238" s="5">
        <f t="shared" si="12"/>
        <v>5381.4265772449398</v>
      </c>
      <c r="F238" s="6">
        <v>0</v>
      </c>
      <c r="G238" s="5">
        <f t="shared" si="13"/>
        <v>5381.4265772449398</v>
      </c>
      <c r="H238" s="5">
        <f t="shared" si="14"/>
        <v>-562272.45601178554</v>
      </c>
    </row>
    <row r="239" spans="1:8" x14ac:dyDescent="0.3">
      <c r="A239">
        <v>238</v>
      </c>
      <c r="B239" s="5">
        <f t="shared" si="15"/>
        <v>-562272.45601178554</v>
      </c>
      <c r="C239" s="5">
        <f>Simulador!C11</f>
        <v>1785.400640245085</v>
      </c>
      <c r="D239" s="5">
        <f>B239*Simulador!C7</f>
        <v>-3630.7755532209712</v>
      </c>
      <c r="E239" s="5">
        <f t="shared" si="12"/>
        <v>5416.1761934660562</v>
      </c>
      <c r="F239" s="6">
        <v>0</v>
      </c>
      <c r="G239" s="5">
        <f t="shared" si="13"/>
        <v>5416.1761934660562</v>
      </c>
      <c r="H239" s="5">
        <f t="shared" si="14"/>
        <v>-567688.6322052516</v>
      </c>
    </row>
    <row r="240" spans="1:8" x14ac:dyDescent="0.3">
      <c r="A240">
        <v>239</v>
      </c>
      <c r="B240" s="5">
        <f t="shared" si="15"/>
        <v>-567688.6322052516</v>
      </c>
      <c r="C240" s="5">
        <f>Simulador!C11</f>
        <v>1785.400640245085</v>
      </c>
      <c r="D240" s="5">
        <f>B240*Simulador!C7</f>
        <v>-3665.7495589808441</v>
      </c>
      <c r="E240" s="5">
        <f t="shared" si="12"/>
        <v>5451.1501992259291</v>
      </c>
      <c r="F240" s="6">
        <v>0</v>
      </c>
      <c r="G240" s="5">
        <f t="shared" si="13"/>
        <v>5451.1501992259291</v>
      </c>
      <c r="H240" s="5">
        <f t="shared" si="14"/>
        <v>-573139.78240447748</v>
      </c>
    </row>
    <row r="241" spans="1:8" x14ac:dyDescent="0.3">
      <c r="A241">
        <v>240</v>
      </c>
      <c r="B241" s="5">
        <f t="shared" si="15"/>
        <v>-573139.78240447748</v>
      </c>
      <c r="C241" s="5">
        <f>Simulador!C11</f>
        <v>1785.400640245085</v>
      </c>
      <c r="D241" s="5">
        <f>B241*Simulador!C7</f>
        <v>-3700.9494032354773</v>
      </c>
      <c r="E241" s="5">
        <f t="shared" si="12"/>
        <v>5486.3500434805628</v>
      </c>
      <c r="F241" s="6">
        <v>0</v>
      </c>
      <c r="G241" s="5">
        <f t="shared" si="13"/>
        <v>5486.3500434805628</v>
      </c>
      <c r="H241" s="5">
        <f t="shared" si="14"/>
        <v>-578626.13244795799</v>
      </c>
    </row>
    <row r="242" spans="1:8" x14ac:dyDescent="0.3">
      <c r="A242">
        <v>241</v>
      </c>
      <c r="B242" s="5">
        <f t="shared" si="15"/>
        <v>-578626.13244795799</v>
      </c>
      <c r="C242" s="5">
        <f>Simulador!C11</f>
        <v>1785.400640245085</v>
      </c>
      <c r="D242" s="5">
        <f>B242*Simulador!C7</f>
        <v>-3736.3765442972554</v>
      </c>
      <c r="E242" s="5">
        <f t="shared" si="12"/>
        <v>5521.7771845423404</v>
      </c>
      <c r="F242" s="6">
        <v>0</v>
      </c>
      <c r="G242" s="5">
        <f t="shared" si="13"/>
        <v>5521.7771845423404</v>
      </c>
      <c r="H242" s="5">
        <f t="shared" si="14"/>
        <v>-584147.90963250038</v>
      </c>
    </row>
    <row r="243" spans="1:8" x14ac:dyDescent="0.3">
      <c r="A243">
        <v>242</v>
      </c>
      <c r="B243" s="5">
        <f t="shared" si="15"/>
        <v>-584147.90963250038</v>
      </c>
      <c r="C243" s="5">
        <f>Simulador!C11</f>
        <v>1785.400640245085</v>
      </c>
      <c r="D243" s="5">
        <f>B243*Simulador!C7</f>
        <v>-3772.0324498953582</v>
      </c>
      <c r="E243" s="5">
        <f t="shared" si="12"/>
        <v>5557.4330901404428</v>
      </c>
      <c r="F243" s="6">
        <v>0</v>
      </c>
      <c r="G243" s="5">
        <f t="shared" si="13"/>
        <v>5557.4330901404428</v>
      </c>
      <c r="H243" s="5">
        <f t="shared" si="14"/>
        <v>-589705.34272264084</v>
      </c>
    </row>
    <row r="244" spans="1:8" x14ac:dyDescent="0.3">
      <c r="A244">
        <v>243</v>
      </c>
      <c r="B244" s="5">
        <f t="shared" si="15"/>
        <v>-589705.34272264084</v>
      </c>
      <c r="C244" s="5">
        <f>Simulador!C11</f>
        <v>1785.400640245085</v>
      </c>
      <c r="D244" s="5">
        <f>B244*Simulador!C7</f>
        <v>-3807.918597236569</v>
      </c>
      <c r="E244" s="5">
        <f t="shared" si="12"/>
        <v>5593.3192374816535</v>
      </c>
      <c r="F244" s="6">
        <v>0</v>
      </c>
      <c r="G244" s="5">
        <f t="shared" si="13"/>
        <v>5593.3192374816535</v>
      </c>
      <c r="H244" s="5">
        <f t="shared" si="14"/>
        <v>-595298.66196012252</v>
      </c>
    </row>
    <row r="245" spans="1:8" x14ac:dyDescent="0.3">
      <c r="A245">
        <v>244</v>
      </c>
      <c r="B245" s="5">
        <f t="shared" si="15"/>
        <v>-595298.66196012252</v>
      </c>
      <c r="C245" s="5">
        <f>Simulador!C11</f>
        <v>1785.400640245085</v>
      </c>
      <c r="D245" s="5">
        <f>B245*Simulador!C7</f>
        <v>-3844.0364730664733</v>
      </c>
      <c r="E245" s="5">
        <f t="shared" si="12"/>
        <v>5629.4371133115583</v>
      </c>
      <c r="F245" s="6">
        <v>0</v>
      </c>
      <c r="G245" s="5">
        <f t="shared" si="13"/>
        <v>5629.4371133115583</v>
      </c>
      <c r="H245" s="5">
        <f t="shared" si="14"/>
        <v>-600928.09907343413</v>
      </c>
    </row>
    <row r="246" spans="1:8" x14ac:dyDescent="0.3">
      <c r="A246">
        <v>245</v>
      </c>
      <c r="B246" s="5">
        <f t="shared" si="15"/>
        <v>-600928.09907343413</v>
      </c>
      <c r="C246" s="5">
        <f>Simulador!C11</f>
        <v>1785.400640245085</v>
      </c>
      <c r="D246" s="5">
        <f>B246*Simulador!C7</f>
        <v>-3880.3875737310564</v>
      </c>
      <c r="E246" s="5">
        <f t="shared" si="12"/>
        <v>5665.7882139761414</v>
      </c>
      <c r="F246" s="6">
        <v>0</v>
      </c>
      <c r="G246" s="5">
        <f t="shared" si="13"/>
        <v>5665.7882139761414</v>
      </c>
      <c r="H246" s="5">
        <f t="shared" si="14"/>
        <v>-606593.88728741033</v>
      </c>
    </row>
    <row r="247" spans="1:8" x14ac:dyDescent="0.3">
      <c r="A247">
        <v>246</v>
      </c>
      <c r="B247" s="5">
        <f t="shared" si="15"/>
        <v>-606593.88728741033</v>
      </c>
      <c r="C247" s="5">
        <f>Simulador!C11</f>
        <v>1785.400640245085</v>
      </c>
      <c r="D247" s="5">
        <f>B247*Simulador!C7</f>
        <v>-3916.973405238693</v>
      </c>
      <c r="E247" s="5">
        <f t="shared" si="12"/>
        <v>5702.374045483778</v>
      </c>
      <c r="F247" s="6">
        <v>0</v>
      </c>
      <c r="G247" s="5">
        <f t="shared" si="13"/>
        <v>5702.374045483778</v>
      </c>
      <c r="H247" s="5">
        <f t="shared" si="14"/>
        <v>-612296.26133289409</v>
      </c>
    </row>
    <row r="248" spans="1:8" x14ac:dyDescent="0.3">
      <c r="A248">
        <v>247</v>
      </c>
      <c r="B248" s="5">
        <f t="shared" si="15"/>
        <v>-612296.26133289409</v>
      </c>
      <c r="C248" s="5">
        <f>Simulador!C11</f>
        <v>1785.400640245085</v>
      </c>
      <c r="D248" s="5">
        <f>B248*Simulador!C7</f>
        <v>-3953.7954833225431</v>
      </c>
      <c r="E248" s="5">
        <f t="shared" si="12"/>
        <v>5739.1961235676281</v>
      </c>
      <c r="F248" s="6">
        <v>0</v>
      </c>
      <c r="G248" s="5">
        <f t="shared" si="13"/>
        <v>5739.1961235676281</v>
      </c>
      <c r="H248" s="5">
        <f t="shared" si="14"/>
        <v>-618035.45745646174</v>
      </c>
    </row>
    <row r="249" spans="1:8" x14ac:dyDescent="0.3">
      <c r="A249">
        <v>248</v>
      </c>
      <c r="B249" s="5">
        <f t="shared" si="15"/>
        <v>-618035.45745646174</v>
      </c>
      <c r="C249" s="5">
        <f>Simulador!C11</f>
        <v>1785.400640245085</v>
      </c>
      <c r="D249" s="5">
        <f>B249*Simulador!C7</f>
        <v>-3990.855333503348</v>
      </c>
      <c r="E249" s="5">
        <f t="shared" si="12"/>
        <v>5776.2559737484335</v>
      </c>
      <c r="F249" s="6">
        <v>0</v>
      </c>
      <c r="G249" s="5">
        <f t="shared" si="13"/>
        <v>5776.2559737484335</v>
      </c>
      <c r="H249" s="5">
        <f t="shared" si="14"/>
        <v>-623811.71343021013</v>
      </c>
    </row>
    <row r="250" spans="1:8" x14ac:dyDescent="0.3">
      <c r="A250">
        <v>249</v>
      </c>
      <c r="B250" s="5">
        <f t="shared" si="15"/>
        <v>-623811.71343021013</v>
      </c>
      <c r="C250" s="5">
        <f>Simulador!C11</f>
        <v>1785.400640245085</v>
      </c>
      <c r="D250" s="5">
        <f>B250*Simulador!C7</f>
        <v>-4028.1544911526294</v>
      </c>
      <c r="E250" s="5">
        <f t="shared" si="12"/>
        <v>5813.5551313977139</v>
      </c>
      <c r="F250" s="6">
        <v>0</v>
      </c>
      <c r="G250" s="5">
        <f t="shared" si="13"/>
        <v>5813.5551313977139</v>
      </c>
      <c r="H250" s="5">
        <f t="shared" si="14"/>
        <v>-629625.26856160781</v>
      </c>
    </row>
    <row r="251" spans="1:8" x14ac:dyDescent="0.3">
      <c r="A251">
        <v>250</v>
      </c>
      <c r="B251" s="5">
        <f t="shared" si="15"/>
        <v>-629625.26856160781</v>
      </c>
      <c r="C251" s="5">
        <f>Simulador!C11</f>
        <v>1785.400640245085</v>
      </c>
      <c r="D251" s="5">
        <f>B251*Simulador!C7</f>
        <v>-4065.6945015563024</v>
      </c>
      <c r="E251" s="5">
        <f t="shared" si="12"/>
        <v>5851.0951418013874</v>
      </c>
      <c r="F251" s="6">
        <v>0</v>
      </c>
      <c r="G251" s="5">
        <f t="shared" si="13"/>
        <v>5851.0951418013874</v>
      </c>
      <c r="H251" s="5">
        <f t="shared" si="14"/>
        <v>-635476.36370340921</v>
      </c>
    </row>
    <row r="252" spans="1:8" x14ac:dyDescent="0.3">
      <c r="A252">
        <v>251</v>
      </c>
      <c r="B252" s="5">
        <f t="shared" si="15"/>
        <v>-635476.36370340921</v>
      </c>
      <c r="C252" s="5">
        <f>Simulador!C11</f>
        <v>1785.400640245085</v>
      </c>
      <c r="D252" s="5">
        <f>B252*Simulador!C7</f>
        <v>-4103.4769199786924</v>
      </c>
      <c r="E252" s="5">
        <f t="shared" si="12"/>
        <v>5888.8775602237774</v>
      </c>
      <c r="F252" s="6">
        <v>0</v>
      </c>
      <c r="G252" s="5">
        <f t="shared" si="13"/>
        <v>5888.8775602237774</v>
      </c>
      <c r="H252" s="5">
        <f t="shared" si="14"/>
        <v>-641365.24126363301</v>
      </c>
    </row>
    <row r="253" spans="1:8" x14ac:dyDescent="0.3">
      <c r="A253">
        <v>252</v>
      </c>
      <c r="B253" s="5">
        <f t="shared" si="15"/>
        <v>-641365.24126363301</v>
      </c>
      <c r="C253" s="5">
        <f>Simulador!C11</f>
        <v>1785.400640245085</v>
      </c>
      <c r="D253" s="5">
        <f>B253*Simulador!C7</f>
        <v>-4141.5033117269741</v>
      </c>
      <c r="E253" s="5">
        <f t="shared" si="12"/>
        <v>5926.9039519720591</v>
      </c>
      <c r="F253" s="6">
        <v>0</v>
      </c>
      <c r="G253" s="5">
        <f t="shared" si="13"/>
        <v>5926.9039519720591</v>
      </c>
      <c r="H253" s="5">
        <f t="shared" si="14"/>
        <v>-647292.14521560504</v>
      </c>
    </row>
    <row r="254" spans="1:8" x14ac:dyDescent="0.3">
      <c r="A254">
        <v>253</v>
      </c>
      <c r="B254" s="5">
        <f t="shared" si="15"/>
        <v>-647292.14521560504</v>
      </c>
      <c r="C254" s="5">
        <f>Simulador!C11</f>
        <v>1785.400640245085</v>
      </c>
      <c r="D254" s="5">
        <f>B254*Simulador!C7</f>
        <v>-4179.7752522160126</v>
      </c>
      <c r="E254" s="5">
        <f t="shared" si="12"/>
        <v>5965.1758924610976</v>
      </c>
      <c r="F254" s="6">
        <v>0</v>
      </c>
      <c r="G254" s="5">
        <f t="shared" si="13"/>
        <v>5965.1758924610976</v>
      </c>
      <c r="H254" s="5">
        <f t="shared" si="14"/>
        <v>-653257.32110806613</v>
      </c>
    </row>
    <row r="255" spans="1:8" x14ac:dyDescent="0.3">
      <c r="A255">
        <v>254</v>
      </c>
      <c r="B255" s="5">
        <f t="shared" si="15"/>
        <v>-653257.32110806613</v>
      </c>
      <c r="C255" s="5">
        <f>Simulador!C11</f>
        <v>1785.400640245085</v>
      </c>
      <c r="D255" s="5">
        <f>B255*Simulador!C7</f>
        <v>-4218.2943270336427</v>
      </c>
      <c r="E255" s="5">
        <f t="shared" si="12"/>
        <v>6003.6949672787277</v>
      </c>
      <c r="F255" s="6">
        <v>0</v>
      </c>
      <c r="G255" s="5">
        <f t="shared" si="13"/>
        <v>6003.6949672787277</v>
      </c>
      <c r="H255" s="5">
        <f t="shared" si="14"/>
        <v>-659261.01607534487</v>
      </c>
    </row>
    <row r="256" spans="1:8" x14ac:dyDescent="0.3">
      <c r="A256">
        <v>255</v>
      </c>
      <c r="B256" s="5">
        <f t="shared" si="15"/>
        <v>-659261.01607534487</v>
      </c>
      <c r="C256" s="5">
        <f>Simulador!C11</f>
        <v>1785.400640245085</v>
      </c>
      <c r="D256" s="5">
        <f>B256*Simulador!C7</f>
        <v>-4257.0621320063528</v>
      </c>
      <c r="E256" s="5">
        <f t="shared" si="12"/>
        <v>6042.4627722514379</v>
      </c>
      <c r="F256" s="6">
        <v>0</v>
      </c>
      <c r="G256" s="5">
        <f t="shared" si="13"/>
        <v>6042.4627722514379</v>
      </c>
      <c r="H256" s="5">
        <f t="shared" si="14"/>
        <v>-665303.47884759633</v>
      </c>
    </row>
    <row r="257" spans="1:8" x14ac:dyDescent="0.3">
      <c r="A257">
        <v>256</v>
      </c>
      <c r="B257" s="5">
        <f t="shared" si="15"/>
        <v>-665303.47884759633</v>
      </c>
      <c r="C257" s="5">
        <f>Simulador!C11</f>
        <v>1785.400640245085</v>
      </c>
      <c r="D257" s="5">
        <f>B257*Simulador!C7</f>
        <v>-4296.0802732653983</v>
      </c>
      <c r="E257" s="5">
        <f t="shared" si="12"/>
        <v>6081.4809135104833</v>
      </c>
      <c r="F257" s="6">
        <v>0</v>
      </c>
      <c r="G257" s="5">
        <f t="shared" si="13"/>
        <v>6081.4809135104833</v>
      </c>
      <c r="H257" s="5">
        <f t="shared" si="14"/>
        <v>-671384.95976110676</v>
      </c>
    </row>
    <row r="258" spans="1:8" x14ac:dyDescent="0.3">
      <c r="A258">
        <v>257</v>
      </c>
      <c r="B258" s="5">
        <f t="shared" si="15"/>
        <v>-671384.95976110676</v>
      </c>
      <c r="C258" s="5">
        <f>Simulador!C11</f>
        <v>1785.400640245085</v>
      </c>
      <c r="D258" s="5">
        <f>B258*Simulador!C7</f>
        <v>-4335.3503673133464</v>
      </c>
      <c r="E258" s="5">
        <f t="shared" ref="E258:E321" si="16">C258-D258</f>
        <v>6120.7510075584314</v>
      </c>
      <c r="F258" s="6">
        <v>0</v>
      </c>
      <c r="G258" s="5">
        <f t="shared" ref="G258:G321" si="17">E258+F258</f>
        <v>6120.7510075584314</v>
      </c>
      <c r="H258" s="5">
        <f t="shared" ref="H258:H321" si="18">B258-G258</f>
        <v>-677505.71076866519</v>
      </c>
    </row>
    <row r="259" spans="1:8" x14ac:dyDescent="0.3">
      <c r="A259">
        <v>258</v>
      </c>
      <c r="B259" s="5">
        <f t="shared" ref="B259:B322" si="19">H258</f>
        <v>-677505.71076866519</v>
      </c>
      <c r="C259" s="5">
        <f>Simulador!C11</f>
        <v>1785.400640245085</v>
      </c>
      <c r="D259" s="5">
        <f>B259*Simulador!C7</f>
        <v>-4374.8740410910459</v>
      </c>
      <c r="E259" s="5">
        <f t="shared" si="16"/>
        <v>6160.2746813361309</v>
      </c>
      <c r="F259" s="6">
        <v>0</v>
      </c>
      <c r="G259" s="5">
        <f t="shared" si="17"/>
        <v>6160.2746813361309</v>
      </c>
      <c r="H259" s="5">
        <f t="shared" si="18"/>
        <v>-683665.98545000132</v>
      </c>
    </row>
    <row r="260" spans="1:8" x14ac:dyDescent="0.3">
      <c r="A260">
        <v>259</v>
      </c>
      <c r="B260" s="5">
        <f t="shared" si="19"/>
        <v>-683665.98545000132</v>
      </c>
      <c r="C260" s="5">
        <f>Simulador!C11</f>
        <v>1785.400640245085</v>
      </c>
      <c r="D260" s="5">
        <f>B260*Simulador!C7</f>
        <v>-4414.65293204503</v>
      </c>
      <c r="E260" s="5">
        <f t="shared" si="16"/>
        <v>6200.053572290115</v>
      </c>
      <c r="F260" s="6">
        <v>0</v>
      </c>
      <c r="G260" s="5">
        <f t="shared" si="17"/>
        <v>6200.053572290115</v>
      </c>
      <c r="H260" s="5">
        <f t="shared" si="18"/>
        <v>-689866.03902229143</v>
      </c>
    </row>
    <row r="261" spans="1:8" x14ac:dyDescent="0.3">
      <c r="A261">
        <v>260</v>
      </c>
      <c r="B261" s="5">
        <f t="shared" si="19"/>
        <v>-689866.03902229143</v>
      </c>
      <c r="C261" s="5">
        <f>Simulador!C11</f>
        <v>1785.400640245085</v>
      </c>
      <c r="D261" s="5">
        <f>B261*Simulador!C7</f>
        <v>-4454.6886881953533</v>
      </c>
      <c r="E261" s="5">
        <f t="shared" si="16"/>
        <v>6240.0893284404383</v>
      </c>
      <c r="F261" s="6">
        <v>0</v>
      </c>
      <c r="G261" s="5">
        <f t="shared" si="17"/>
        <v>6240.0893284404383</v>
      </c>
      <c r="H261" s="5">
        <f t="shared" si="18"/>
        <v>-696106.12835073192</v>
      </c>
    </row>
    <row r="262" spans="1:8" x14ac:dyDescent="0.3">
      <c r="A262">
        <v>261</v>
      </c>
      <c r="B262" s="5">
        <f t="shared" si="19"/>
        <v>-696106.12835073192</v>
      </c>
      <c r="C262" s="5">
        <f>Simulador!C11</f>
        <v>1785.400640245085</v>
      </c>
      <c r="D262" s="5">
        <f>B262*Simulador!C7</f>
        <v>-4494.9829682038726</v>
      </c>
      <c r="E262" s="5">
        <f t="shared" si="16"/>
        <v>6280.3836084489576</v>
      </c>
      <c r="F262" s="6">
        <v>0</v>
      </c>
      <c r="G262" s="5">
        <f t="shared" si="17"/>
        <v>6280.3836084489576</v>
      </c>
      <c r="H262" s="5">
        <f t="shared" si="18"/>
        <v>-702386.51195918082</v>
      </c>
    </row>
    <row r="263" spans="1:8" x14ac:dyDescent="0.3">
      <c r="A263">
        <v>262</v>
      </c>
      <c r="B263" s="5">
        <f t="shared" si="19"/>
        <v>-702386.51195918082</v>
      </c>
      <c r="C263" s="5">
        <f>Simulador!C11</f>
        <v>1785.400640245085</v>
      </c>
      <c r="D263" s="5">
        <f>B263*Simulador!C7</f>
        <v>-4535.5374414429598</v>
      </c>
      <c r="E263" s="5">
        <f t="shared" si="16"/>
        <v>6320.9380816880448</v>
      </c>
      <c r="F263" s="6">
        <v>0</v>
      </c>
      <c r="G263" s="5">
        <f t="shared" si="17"/>
        <v>6320.9380816880448</v>
      </c>
      <c r="H263" s="5">
        <f t="shared" si="18"/>
        <v>-708707.45004086883</v>
      </c>
    </row>
    <row r="264" spans="1:8" x14ac:dyDescent="0.3">
      <c r="A264">
        <v>263</v>
      </c>
      <c r="B264" s="5">
        <f t="shared" si="19"/>
        <v>-708707.45004086883</v>
      </c>
      <c r="C264" s="5">
        <f>Simulador!C11</f>
        <v>1785.400640245085</v>
      </c>
      <c r="D264" s="5">
        <f>B264*Simulador!C7</f>
        <v>-4576.3537880646682</v>
      </c>
      <c r="E264" s="5">
        <f t="shared" si="16"/>
        <v>6361.7544283097532</v>
      </c>
      <c r="F264" s="6">
        <v>0</v>
      </c>
      <c r="G264" s="5">
        <f t="shared" si="17"/>
        <v>6361.7544283097532</v>
      </c>
      <c r="H264" s="5">
        <f t="shared" si="18"/>
        <v>-715069.20446917857</v>
      </c>
    </row>
    <row r="265" spans="1:8" x14ac:dyDescent="0.3">
      <c r="A265">
        <v>264</v>
      </c>
      <c r="B265" s="5">
        <f t="shared" si="19"/>
        <v>-715069.20446917857</v>
      </c>
      <c r="C265" s="5">
        <f>Simulador!C11</f>
        <v>1785.400640245085</v>
      </c>
      <c r="D265" s="5">
        <f>B265*Simulador!C7</f>
        <v>-4617.4336990703359</v>
      </c>
      <c r="E265" s="5">
        <f t="shared" si="16"/>
        <v>6402.8343393154209</v>
      </c>
      <c r="F265" s="6">
        <v>0</v>
      </c>
      <c r="G265" s="5">
        <f t="shared" si="17"/>
        <v>6402.8343393154209</v>
      </c>
      <c r="H265" s="5">
        <f t="shared" si="18"/>
        <v>-721472.03880849399</v>
      </c>
    </row>
    <row r="266" spans="1:8" x14ac:dyDescent="0.3">
      <c r="A266">
        <v>265</v>
      </c>
      <c r="B266" s="5">
        <f t="shared" si="19"/>
        <v>-721472.03880849399</v>
      </c>
      <c r="C266" s="5">
        <f>Simulador!C11</f>
        <v>1785.400640245085</v>
      </c>
      <c r="D266" s="5">
        <f>B266*Simulador!C7</f>
        <v>-4658.7788763806448</v>
      </c>
      <c r="E266" s="5">
        <f t="shared" si="16"/>
        <v>6444.1795166257298</v>
      </c>
      <c r="F266" s="6">
        <v>0</v>
      </c>
      <c r="G266" s="5">
        <f t="shared" si="17"/>
        <v>6444.1795166257298</v>
      </c>
      <c r="H266" s="5">
        <f t="shared" si="18"/>
        <v>-727916.2183251197</v>
      </c>
    </row>
    <row r="267" spans="1:8" x14ac:dyDescent="0.3">
      <c r="A267">
        <v>266</v>
      </c>
      <c r="B267" s="5">
        <f t="shared" si="19"/>
        <v>-727916.2183251197</v>
      </c>
      <c r="C267" s="5">
        <f>Simulador!C11</f>
        <v>1785.400640245085</v>
      </c>
      <c r="D267" s="5">
        <f>B267*Simulador!C7</f>
        <v>-4700.3910329061309</v>
      </c>
      <c r="E267" s="5">
        <f t="shared" si="16"/>
        <v>6485.7916731512159</v>
      </c>
      <c r="F267" s="6">
        <v>0</v>
      </c>
      <c r="G267" s="5">
        <f t="shared" si="17"/>
        <v>6485.7916731512159</v>
      </c>
      <c r="H267" s="5">
        <f t="shared" si="18"/>
        <v>-734402.00999827089</v>
      </c>
    </row>
    <row r="268" spans="1:8" x14ac:dyDescent="0.3">
      <c r="A268">
        <v>267</v>
      </c>
      <c r="B268" s="5">
        <f t="shared" si="19"/>
        <v>-734402.00999827089</v>
      </c>
      <c r="C268" s="5">
        <f>Simulador!C11</f>
        <v>1785.400640245085</v>
      </c>
      <c r="D268" s="5">
        <f>B268*Simulador!C7</f>
        <v>-4742.2718926181496</v>
      </c>
      <c r="E268" s="5">
        <f t="shared" si="16"/>
        <v>6527.6725328632347</v>
      </c>
      <c r="F268" s="6">
        <v>0</v>
      </c>
      <c r="G268" s="5">
        <f t="shared" si="17"/>
        <v>6527.6725328632347</v>
      </c>
      <c r="H268" s="5">
        <f t="shared" si="18"/>
        <v>-740929.68253113411</v>
      </c>
    </row>
    <row r="269" spans="1:8" x14ac:dyDescent="0.3">
      <c r="A269">
        <v>268</v>
      </c>
      <c r="B269" s="5">
        <f t="shared" si="19"/>
        <v>-740929.68253113411</v>
      </c>
      <c r="C269" s="5">
        <f>Simulador!C11</f>
        <v>1785.400640245085</v>
      </c>
      <c r="D269" s="5">
        <f>B269*Simulador!C7</f>
        <v>-4784.4231906202958</v>
      </c>
      <c r="E269" s="5">
        <f t="shared" si="16"/>
        <v>6569.8238308653808</v>
      </c>
      <c r="F269" s="6">
        <v>0</v>
      </c>
      <c r="G269" s="5">
        <f t="shared" si="17"/>
        <v>6569.8238308653808</v>
      </c>
      <c r="H269" s="5">
        <f t="shared" si="18"/>
        <v>-747499.50636199943</v>
      </c>
    </row>
    <row r="270" spans="1:8" x14ac:dyDescent="0.3">
      <c r="A270">
        <v>269</v>
      </c>
      <c r="B270" s="5">
        <f t="shared" si="19"/>
        <v>-747499.50636199943</v>
      </c>
      <c r="C270" s="5">
        <f>Simulador!C11</f>
        <v>1785.400640245085</v>
      </c>
      <c r="D270" s="5">
        <f>B270*Simulador!C7</f>
        <v>-4826.8466732202951</v>
      </c>
      <c r="E270" s="5">
        <f t="shared" si="16"/>
        <v>6612.2473134653801</v>
      </c>
      <c r="F270" s="6">
        <v>0</v>
      </c>
      <c r="G270" s="5">
        <f t="shared" si="17"/>
        <v>6612.2473134653801</v>
      </c>
      <c r="H270" s="5">
        <f t="shared" si="18"/>
        <v>-754111.75367546477</v>
      </c>
    </row>
    <row r="271" spans="1:8" x14ac:dyDescent="0.3">
      <c r="A271">
        <v>270</v>
      </c>
      <c r="B271" s="5">
        <f t="shared" si="19"/>
        <v>-754111.75367546477</v>
      </c>
      <c r="C271" s="5">
        <f>Simulador!C11</f>
        <v>1785.400640245085</v>
      </c>
      <c r="D271" s="5">
        <f>B271*Simulador!C7</f>
        <v>-4869.5440980023432</v>
      </c>
      <c r="E271" s="5">
        <f t="shared" si="16"/>
        <v>6654.9447382474282</v>
      </c>
      <c r="F271" s="6">
        <v>0</v>
      </c>
      <c r="G271" s="5">
        <f t="shared" si="17"/>
        <v>6654.9447382474282</v>
      </c>
      <c r="H271" s="5">
        <f t="shared" si="18"/>
        <v>-760766.69841371221</v>
      </c>
    </row>
    <row r="272" spans="1:8" x14ac:dyDescent="0.3">
      <c r="A272">
        <v>271</v>
      </c>
      <c r="B272" s="5">
        <f t="shared" si="19"/>
        <v>-760766.69841371221</v>
      </c>
      <c r="C272" s="5">
        <f>Simulador!C11</f>
        <v>1785.400640245085</v>
      </c>
      <c r="D272" s="5">
        <f>B272*Simulador!C7</f>
        <v>-4912.5172338999319</v>
      </c>
      <c r="E272" s="5">
        <f t="shared" si="16"/>
        <v>6697.9178741450169</v>
      </c>
      <c r="F272" s="6">
        <v>0</v>
      </c>
      <c r="G272" s="5">
        <f t="shared" si="17"/>
        <v>6697.9178741450169</v>
      </c>
      <c r="H272" s="5">
        <f t="shared" si="18"/>
        <v>-767464.61628785718</v>
      </c>
    </row>
    <row r="273" spans="1:8" x14ac:dyDescent="0.3">
      <c r="A273">
        <v>272</v>
      </c>
      <c r="B273" s="5">
        <f t="shared" si="19"/>
        <v>-767464.61628785718</v>
      </c>
      <c r="C273" s="5">
        <f>Simulador!C11</f>
        <v>1785.400640245085</v>
      </c>
      <c r="D273" s="5">
        <f>B273*Simulador!C7</f>
        <v>-4955.7678612691261</v>
      </c>
      <c r="E273" s="5">
        <f t="shared" si="16"/>
        <v>6741.1685015142111</v>
      </c>
      <c r="F273" s="6">
        <v>0</v>
      </c>
      <c r="G273" s="5">
        <f t="shared" si="17"/>
        <v>6741.1685015142111</v>
      </c>
      <c r="H273" s="5">
        <f t="shared" si="18"/>
        <v>-774205.78478937142</v>
      </c>
    </row>
    <row r="274" spans="1:8" x14ac:dyDescent="0.3">
      <c r="A274">
        <v>273</v>
      </c>
      <c r="B274" s="5">
        <f t="shared" si="19"/>
        <v>-774205.78478937142</v>
      </c>
      <c r="C274" s="5">
        <f>Simulador!C11</f>
        <v>1785.400640245085</v>
      </c>
      <c r="D274" s="5">
        <f>B274*Simulador!C7</f>
        <v>-4999.2977719623295</v>
      </c>
      <c r="E274" s="5">
        <f t="shared" si="16"/>
        <v>6784.6984122074145</v>
      </c>
      <c r="F274" s="6">
        <v>0</v>
      </c>
      <c r="G274" s="5">
        <f t="shared" si="17"/>
        <v>6784.6984122074145</v>
      </c>
      <c r="H274" s="5">
        <f t="shared" si="18"/>
        <v>-780990.48320157884</v>
      </c>
    </row>
    <row r="275" spans="1:8" x14ac:dyDescent="0.3">
      <c r="A275">
        <v>274</v>
      </c>
      <c r="B275" s="5">
        <f t="shared" si="19"/>
        <v>-780990.48320157884</v>
      </c>
      <c r="C275" s="5">
        <f>Simulador!C11</f>
        <v>1785.400640245085</v>
      </c>
      <c r="D275" s="5">
        <f>B275*Simulador!C7</f>
        <v>-5043.1087694025164</v>
      </c>
      <c r="E275" s="5">
        <f t="shared" si="16"/>
        <v>6828.5094096476014</v>
      </c>
      <c r="F275" s="6">
        <v>0</v>
      </c>
      <c r="G275" s="5">
        <f t="shared" si="17"/>
        <v>6828.5094096476014</v>
      </c>
      <c r="H275" s="5">
        <f t="shared" si="18"/>
        <v>-787818.99261122639</v>
      </c>
    </row>
    <row r="276" spans="1:8" x14ac:dyDescent="0.3">
      <c r="A276">
        <v>275</v>
      </c>
      <c r="B276" s="5">
        <f t="shared" si="19"/>
        <v>-787818.99261122639</v>
      </c>
      <c r="C276" s="5">
        <f>Simulador!C11</f>
        <v>1785.400640245085</v>
      </c>
      <c r="D276" s="5">
        <f>B276*Simulador!C7</f>
        <v>-5087.2026686579475</v>
      </c>
      <c r="E276" s="5">
        <f t="shared" si="16"/>
        <v>6872.6033089030325</v>
      </c>
      <c r="F276" s="6">
        <v>0</v>
      </c>
      <c r="G276" s="5">
        <f t="shared" si="17"/>
        <v>6872.6033089030325</v>
      </c>
      <c r="H276" s="5">
        <f t="shared" si="18"/>
        <v>-794691.59592012945</v>
      </c>
    </row>
    <row r="277" spans="1:8" x14ac:dyDescent="0.3">
      <c r="A277">
        <v>276</v>
      </c>
      <c r="B277" s="5">
        <f t="shared" si="19"/>
        <v>-794691.59592012945</v>
      </c>
      <c r="C277" s="5">
        <f>Simulador!C11</f>
        <v>1785.400640245085</v>
      </c>
      <c r="D277" s="5">
        <f>B277*Simulador!C7</f>
        <v>-5131.5812965173709</v>
      </c>
      <c r="E277" s="5">
        <f t="shared" si="16"/>
        <v>6916.9819367624559</v>
      </c>
      <c r="F277" s="6">
        <v>0</v>
      </c>
      <c r="G277" s="5">
        <f t="shared" si="17"/>
        <v>6916.9819367624559</v>
      </c>
      <c r="H277" s="5">
        <f t="shared" si="18"/>
        <v>-801608.5778568919</v>
      </c>
    </row>
    <row r="278" spans="1:8" x14ac:dyDescent="0.3">
      <c r="A278">
        <v>277</v>
      </c>
      <c r="B278" s="5">
        <f t="shared" si="19"/>
        <v>-801608.5778568919</v>
      </c>
      <c r="C278" s="5">
        <f>Simulador!C11</f>
        <v>1785.400640245085</v>
      </c>
      <c r="D278" s="5">
        <f>B278*Simulador!C7</f>
        <v>-5176.2464915656974</v>
      </c>
      <c r="E278" s="5">
        <f t="shared" si="16"/>
        <v>6961.6471318107824</v>
      </c>
      <c r="F278" s="6">
        <v>0</v>
      </c>
      <c r="G278" s="5">
        <f t="shared" si="17"/>
        <v>6961.6471318107824</v>
      </c>
      <c r="H278" s="5">
        <f t="shared" si="18"/>
        <v>-808570.22498870268</v>
      </c>
    </row>
    <row r="279" spans="1:8" x14ac:dyDescent="0.3">
      <c r="A279">
        <v>278</v>
      </c>
      <c r="B279" s="5">
        <f t="shared" si="19"/>
        <v>-808570.22498870268</v>
      </c>
      <c r="C279" s="5">
        <f>Simulador!C11</f>
        <v>1785.400640245085</v>
      </c>
      <c r="D279" s="5">
        <f>B279*Simulador!C7</f>
        <v>-5221.2001042601805</v>
      </c>
      <c r="E279" s="5">
        <f t="shared" si="16"/>
        <v>7006.6007445052655</v>
      </c>
      <c r="F279" s="6">
        <v>0</v>
      </c>
      <c r="G279" s="5">
        <f t="shared" si="17"/>
        <v>7006.6007445052655</v>
      </c>
      <c r="H279" s="5">
        <f t="shared" si="18"/>
        <v>-815576.82573320798</v>
      </c>
    </row>
    <row r="280" spans="1:8" x14ac:dyDescent="0.3">
      <c r="A280">
        <v>279</v>
      </c>
      <c r="B280" s="5">
        <f t="shared" si="19"/>
        <v>-815576.82573320798</v>
      </c>
      <c r="C280" s="5">
        <f>Simulador!C11</f>
        <v>1785.400640245085</v>
      </c>
      <c r="D280" s="5">
        <f>B280*Simulador!C7</f>
        <v>-5266.4439970070734</v>
      </c>
      <c r="E280" s="5">
        <f t="shared" si="16"/>
        <v>7051.8446372521585</v>
      </c>
      <c r="F280" s="6">
        <v>0</v>
      </c>
      <c r="G280" s="5">
        <f t="shared" si="17"/>
        <v>7051.8446372521585</v>
      </c>
      <c r="H280" s="5">
        <f t="shared" si="18"/>
        <v>-822628.67037046014</v>
      </c>
    </row>
    <row r="281" spans="1:8" x14ac:dyDescent="0.3">
      <c r="A281">
        <v>280</v>
      </c>
      <c r="B281" s="5">
        <f t="shared" si="19"/>
        <v>-822628.67037046014</v>
      </c>
      <c r="C281" s="5">
        <f>Simulador!C11</f>
        <v>1785.400640245085</v>
      </c>
      <c r="D281" s="5">
        <f>B281*Simulador!C7</f>
        <v>-5311.9800442387932</v>
      </c>
      <c r="E281" s="5">
        <f t="shared" si="16"/>
        <v>7097.3806844838782</v>
      </c>
      <c r="F281" s="6">
        <v>0</v>
      </c>
      <c r="G281" s="5">
        <f t="shared" si="17"/>
        <v>7097.3806844838782</v>
      </c>
      <c r="H281" s="5">
        <f t="shared" si="18"/>
        <v>-829726.05105494405</v>
      </c>
    </row>
    <row r="282" spans="1:8" x14ac:dyDescent="0.3">
      <c r="A282">
        <v>281</v>
      </c>
      <c r="B282" s="5">
        <f t="shared" si="19"/>
        <v>-829726.05105494405</v>
      </c>
      <c r="C282" s="5">
        <f>Simulador!C11</f>
        <v>1785.400640245085</v>
      </c>
      <c r="D282" s="5">
        <f>B282*Simulador!C7</f>
        <v>-5357.8101324915724</v>
      </c>
      <c r="E282" s="5">
        <f t="shared" si="16"/>
        <v>7143.2107727366574</v>
      </c>
      <c r="F282" s="6">
        <v>0</v>
      </c>
      <c r="G282" s="5">
        <f t="shared" si="17"/>
        <v>7143.2107727366574</v>
      </c>
      <c r="H282" s="5">
        <f t="shared" si="18"/>
        <v>-836869.26182768075</v>
      </c>
    </row>
    <row r="283" spans="1:8" x14ac:dyDescent="0.3">
      <c r="A283">
        <v>282</v>
      </c>
      <c r="B283" s="5">
        <f t="shared" si="19"/>
        <v>-836869.26182768075</v>
      </c>
      <c r="C283" s="5">
        <f>Simulador!C11</f>
        <v>1785.400640245085</v>
      </c>
      <c r="D283" s="5">
        <f>B283*Simulador!C7</f>
        <v>-5403.9361604836204</v>
      </c>
      <c r="E283" s="5">
        <f t="shared" si="16"/>
        <v>7189.3368007287054</v>
      </c>
      <c r="F283" s="6">
        <v>0</v>
      </c>
      <c r="G283" s="5">
        <f t="shared" si="17"/>
        <v>7189.3368007287054</v>
      </c>
      <c r="H283" s="5">
        <f t="shared" si="18"/>
        <v>-844058.59862840944</v>
      </c>
    </row>
    <row r="284" spans="1:8" x14ac:dyDescent="0.3">
      <c r="A284">
        <v>283</v>
      </c>
      <c r="B284" s="5">
        <f t="shared" si="19"/>
        <v>-844058.59862840944</v>
      </c>
      <c r="C284" s="5">
        <f>Simulador!C11</f>
        <v>1785.400640245085</v>
      </c>
      <c r="D284" s="5">
        <f>B284*Simulador!C7</f>
        <v>-5450.3600391937853</v>
      </c>
      <c r="E284" s="5">
        <f t="shared" si="16"/>
        <v>7235.7606794388703</v>
      </c>
      <c r="F284" s="6">
        <v>0</v>
      </c>
      <c r="G284" s="5">
        <f t="shared" si="17"/>
        <v>7235.7606794388703</v>
      </c>
      <c r="H284" s="5">
        <f t="shared" si="18"/>
        <v>-851294.35930784827</v>
      </c>
    </row>
    <row r="285" spans="1:8" x14ac:dyDescent="0.3">
      <c r="A285">
        <v>284</v>
      </c>
      <c r="B285" s="5">
        <f t="shared" si="19"/>
        <v>-851294.35930784827</v>
      </c>
      <c r="C285" s="5">
        <f>Simulador!C11</f>
        <v>1785.400640245085</v>
      </c>
      <c r="D285" s="5">
        <f>B285*Simulador!C7</f>
        <v>-5497.0836919407257</v>
      </c>
      <c r="E285" s="5">
        <f t="shared" si="16"/>
        <v>7282.4843321858107</v>
      </c>
      <c r="F285" s="6">
        <v>0</v>
      </c>
      <c r="G285" s="5">
        <f t="shared" si="17"/>
        <v>7282.4843321858107</v>
      </c>
      <c r="H285" s="5">
        <f t="shared" si="18"/>
        <v>-858576.84364003409</v>
      </c>
    </row>
    <row r="286" spans="1:8" x14ac:dyDescent="0.3">
      <c r="A286">
        <v>285</v>
      </c>
      <c r="B286" s="5">
        <f t="shared" si="19"/>
        <v>-858576.84364003409</v>
      </c>
      <c r="C286" s="5">
        <f>Simulador!C11</f>
        <v>1785.400640245085</v>
      </c>
      <c r="D286" s="5">
        <f>B286*Simulador!C7</f>
        <v>-5544.1090544625931</v>
      </c>
      <c r="E286" s="5">
        <f t="shared" si="16"/>
        <v>7329.5096947076781</v>
      </c>
      <c r="F286" s="6">
        <v>0</v>
      </c>
      <c r="G286" s="5">
        <f t="shared" si="17"/>
        <v>7329.5096947076781</v>
      </c>
      <c r="H286" s="5">
        <f t="shared" si="18"/>
        <v>-865906.35333474178</v>
      </c>
    </row>
    <row r="287" spans="1:8" x14ac:dyDescent="0.3">
      <c r="A287">
        <v>286</v>
      </c>
      <c r="B287" s="5">
        <f t="shared" si="19"/>
        <v>-865906.35333474178</v>
      </c>
      <c r="C287" s="5">
        <f>Simulador!C11</f>
        <v>1785.400640245085</v>
      </c>
      <c r="D287" s="5">
        <f>B287*Simulador!C7</f>
        <v>-5591.438074997227</v>
      </c>
      <c r="E287" s="5">
        <f t="shared" si="16"/>
        <v>7376.838715242312</v>
      </c>
      <c r="F287" s="6">
        <v>0</v>
      </c>
      <c r="G287" s="5">
        <f t="shared" si="17"/>
        <v>7376.838715242312</v>
      </c>
      <c r="H287" s="5">
        <f t="shared" si="18"/>
        <v>-873283.19204998412</v>
      </c>
    </row>
    <row r="288" spans="1:8" x14ac:dyDescent="0.3">
      <c r="A288">
        <v>287</v>
      </c>
      <c r="B288" s="5">
        <f t="shared" si="19"/>
        <v>-873283.19204998412</v>
      </c>
      <c r="C288" s="5">
        <f>Simulador!C11</f>
        <v>1785.400640245085</v>
      </c>
      <c r="D288" s="5">
        <f>B288*Simulador!C7</f>
        <v>-5639.0727143628701</v>
      </c>
      <c r="E288" s="5">
        <f t="shared" si="16"/>
        <v>7424.4733546079551</v>
      </c>
      <c r="F288" s="6">
        <v>0</v>
      </c>
      <c r="G288" s="5">
        <f t="shared" si="17"/>
        <v>7424.4733546079551</v>
      </c>
      <c r="H288" s="5">
        <f t="shared" si="18"/>
        <v>-880707.66540459206</v>
      </c>
    </row>
    <row r="289" spans="1:8" x14ac:dyDescent="0.3">
      <c r="A289">
        <v>288</v>
      </c>
      <c r="B289" s="5">
        <f t="shared" si="19"/>
        <v>-880707.66540459206</v>
      </c>
      <c r="C289" s="5">
        <f>Simulador!C11</f>
        <v>1785.400640245085</v>
      </c>
      <c r="D289" s="5">
        <f>B289*Simulador!C7</f>
        <v>-5687.0149460394041</v>
      </c>
      <c r="E289" s="5">
        <f t="shared" si="16"/>
        <v>7472.4155862844891</v>
      </c>
      <c r="F289" s="6">
        <v>0</v>
      </c>
      <c r="G289" s="5">
        <f t="shared" si="17"/>
        <v>7472.4155862844891</v>
      </c>
      <c r="H289" s="5">
        <f t="shared" si="18"/>
        <v>-888180.08099087654</v>
      </c>
    </row>
    <row r="290" spans="1:8" x14ac:dyDescent="0.3">
      <c r="A290">
        <v>289</v>
      </c>
      <c r="B290" s="5">
        <f t="shared" si="19"/>
        <v>-888180.08099087654</v>
      </c>
      <c r="C290" s="5">
        <f>Simulador!C11</f>
        <v>1785.400640245085</v>
      </c>
      <c r="D290" s="5">
        <f>B290*Simulador!C7</f>
        <v>-5735.2667562501119</v>
      </c>
      <c r="E290" s="5">
        <f t="shared" si="16"/>
        <v>7520.667396495197</v>
      </c>
      <c r="F290" s="6">
        <v>0</v>
      </c>
      <c r="G290" s="5">
        <f t="shared" si="17"/>
        <v>7520.667396495197</v>
      </c>
      <c r="H290" s="5">
        <f t="shared" si="18"/>
        <v>-895700.74838737177</v>
      </c>
    </row>
    <row r="291" spans="1:8" x14ac:dyDescent="0.3">
      <c r="A291">
        <v>290</v>
      </c>
      <c r="B291" s="5">
        <f t="shared" si="19"/>
        <v>-895700.74838737177</v>
      </c>
      <c r="C291" s="5">
        <f>Simulador!C11</f>
        <v>1785.400640245085</v>
      </c>
      <c r="D291" s="5">
        <f>B291*Simulador!C7</f>
        <v>-5783.8301440439618</v>
      </c>
      <c r="E291" s="5">
        <f t="shared" si="16"/>
        <v>7569.2307842890468</v>
      </c>
      <c r="F291" s="6">
        <v>0</v>
      </c>
      <c r="G291" s="5">
        <f t="shared" si="17"/>
        <v>7569.2307842890468</v>
      </c>
      <c r="H291" s="5">
        <f t="shared" si="18"/>
        <v>-903269.97917166085</v>
      </c>
    </row>
    <row r="292" spans="1:8" x14ac:dyDescent="0.3">
      <c r="A292">
        <v>291</v>
      </c>
      <c r="B292" s="5">
        <f t="shared" si="19"/>
        <v>-903269.97917166085</v>
      </c>
      <c r="C292" s="5">
        <f>Simulador!C11</f>
        <v>1785.400640245085</v>
      </c>
      <c r="D292" s="5">
        <f>B292*Simulador!C7</f>
        <v>-5832.7071213784311</v>
      </c>
      <c r="E292" s="5">
        <f t="shared" si="16"/>
        <v>7618.1077616235161</v>
      </c>
      <c r="F292" s="6">
        <v>0</v>
      </c>
      <c r="G292" s="5">
        <f t="shared" si="17"/>
        <v>7618.1077616235161</v>
      </c>
      <c r="H292" s="5">
        <f t="shared" si="18"/>
        <v>-910888.08693328442</v>
      </c>
    </row>
    <row r="293" spans="1:8" x14ac:dyDescent="0.3">
      <c r="A293">
        <v>292</v>
      </c>
      <c r="B293" s="5">
        <f t="shared" si="19"/>
        <v>-910888.08693328442</v>
      </c>
      <c r="C293" s="5">
        <f>Simulador!C11</f>
        <v>1785.400640245085</v>
      </c>
      <c r="D293" s="5">
        <f>B293*Simulador!C7</f>
        <v>-5881.899713202858</v>
      </c>
      <c r="E293" s="5">
        <f t="shared" si="16"/>
        <v>7667.3003534479431</v>
      </c>
      <c r="F293" s="6">
        <v>0</v>
      </c>
      <c r="G293" s="5">
        <f t="shared" si="17"/>
        <v>7667.3003534479431</v>
      </c>
      <c r="H293" s="5">
        <f t="shared" si="18"/>
        <v>-918555.38728673232</v>
      </c>
    </row>
    <row r="294" spans="1:8" x14ac:dyDescent="0.3">
      <c r="A294">
        <v>293</v>
      </c>
      <c r="B294" s="5">
        <f t="shared" si="19"/>
        <v>-918555.38728673232</v>
      </c>
      <c r="C294" s="5">
        <f>Simulador!C11</f>
        <v>1785.400640245085</v>
      </c>
      <c r="D294" s="5">
        <f>B294*Simulador!C7</f>
        <v>-5931.4099575423352</v>
      </c>
      <c r="E294" s="5">
        <f t="shared" si="16"/>
        <v>7716.8105977874202</v>
      </c>
      <c r="F294" s="6">
        <v>0</v>
      </c>
      <c r="G294" s="5">
        <f t="shared" si="17"/>
        <v>7716.8105977874202</v>
      </c>
      <c r="H294" s="5">
        <f t="shared" si="18"/>
        <v>-926272.1978845197</v>
      </c>
    </row>
    <row r="295" spans="1:8" x14ac:dyDescent="0.3">
      <c r="A295">
        <v>294</v>
      </c>
      <c r="B295" s="5">
        <f t="shared" si="19"/>
        <v>-926272.1978845197</v>
      </c>
      <c r="C295" s="5">
        <f>Simulador!C11</f>
        <v>1785.400640245085</v>
      </c>
      <c r="D295" s="5">
        <f>B295*Simulador!C7</f>
        <v>-5981.2399055821434</v>
      </c>
      <c r="E295" s="5">
        <f t="shared" si="16"/>
        <v>7766.6405458272284</v>
      </c>
      <c r="F295" s="6">
        <v>0</v>
      </c>
      <c r="G295" s="5">
        <f t="shared" si="17"/>
        <v>7766.6405458272284</v>
      </c>
      <c r="H295" s="5">
        <f t="shared" si="18"/>
        <v>-934038.83843034692</v>
      </c>
    </row>
    <row r="296" spans="1:8" x14ac:dyDescent="0.3">
      <c r="A296">
        <v>295</v>
      </c>
      <c r="B296" s="5">
        <f t="shared" si="19"/>
        <v>-934038.83843034692</v>
      </c>
      <c r="C296" s="5">
        <f>Simulador!C11</f>
        <v>1785.400640245085</v>
      </c>
      <c r="D296" s="5">
        <f>B296*Simulador!C7</f>
        <v>-6031.3916217527349</v>
      </c>
      <c r="E296" s="5">
        <f t="shared" si="16"/>
        <v>7816.7922619978199</v>
      </c>
      <c r="F296" s="6">
        <v>0</v>
      </c>
      <c r="G296" s="5">
        <f t="shared" si="17"/>
        <v>7816.7922619978199</v>
      </c>
      <c r="H296" s="5">
        <f t="shared" si="18"/>
        <v>-941855.63069234474</v>
      </c>
    </row>
    <row r="297" spans="1:8" x14ac:dyDescent="0.3">
      <c r="A297">
        <v>296</v>
      </c>
      <c r="B297" s="5">
        <f t="shared" si="19"/>
        <v>-941855.63069234474</v>
      </c>
      <c r="C297" s="5">
        <f>Simulador!C11</f>
        <v>1785.400640245085</v>
      </c>
      <c r="D297" s="5">
        <f>B297*Simulador!C7</f>
        <v>-6081.867183815255</v>
      </c>
      <c r="E297" s="5">
        <f t="shared" si="16"/>
        <v>7867.26782406034</v>
      </c>
      <c r="F297" s="6">
        <v>0</v>
      </c>
      <c r="G297" s="5">
        <f t="shared" si="17"/>
        <v>7867.26782406034</v>
      </c>
      <c r="H297" s="5">
        <f t="shared" si="18"/>
        <v>-949722.89851640502</v>
      </c>
    </row>
    <row r="298" spans="1:8" x14ac:dyDescent="0.3">
      <c r="A298">
        <v>297</v>
      </c>
      <c r="B298" s="5">
        <f t="shared" si="19"/>
        <v>-949722.89851640502</v>
      </c>
      <c r="C298" s="5">
        <f>Simulador!C11</f>
        <v>1785.400640245085</v>
      </c>
      <c r="D298" s="5">
        <f>B298*Simulador!C7</f>
        <v>-6132.6686829476275</v>
      </c>
      <c r="E298" s="5">
        <f t="shared" si="16"/>
        <v>7918.0693231927125</v>
      </c>
      <c r="F298" s="6">
        <v>0</v>
      </c>
      <c r="G298" s="5">
        <f t="shared" si="17"/>
        <v>7918.0693231927125</v>
      </c>
      <c r="H298" s="5">
        <f t="shared" si="18"/>
        <v>-957640.96783959772</v>
      </c>
    </row>
    <row r="299" spans="1:8" x14ac:dyDescent="0.3">
      <c r="A299">
        <v>298</v>
      </c>
      <c r="B299" s="5">
        <f t="shared" si="19"/>
        <v>-957640.96783959772</v>
      </c>
      <c r="C299" s="5">
        <f>Simulador!C11</f>
        <v>1785.400640245085</v>
      </c>
      <c r="D299" s="5">
        <f>B299*Simulador!C7</f>
        <v>-6183.7982238311924</v>
      </c>
      <c r="E299" s="5">
        <f t="shared" si="16"/>
        <v>7969.1988640762775</v>
      </c>
      <c r="F299" s="6">
        <v>0</v>
      </c>
      <c r="G299" s="5">
        <f t="shared" si="17"/>
        <v>7969.1988640762775</v>
      </c>
      <c r="H299" s="5">
        <f t="shared" si="18"/>
        <v>-965610.16670367401</v>
      </c>
    </row>
    <row r="300" spans="1:8" x14ac:dyDescent="0.3">
      <c r="A300">
        <v>299</v>
      </c>
      <c r="B300" s="5">
        <f t="shared" si="19"/>
        <v>-965610.16670367401</v>
      </c>
      <c r="C300" s="5">
        <f>Simulador!C11</f>
        <v>1785.400640245085</v>
      </c>
      <c r="D300" s="5">
        <f>B300*Simulador!C7</f>
        <v>-6235.2579247378972</v>
      </c>
      <c r="E300" s="5">
        <f t="shared" si="16"/>
        <v>8020.6585649829822</v>
      </c>
      <c r="F300" s="6">
        <v>0</v>
      </c>
      <c r="G300" s="5">
        <f t="shared" si="17"/>
        <v>8020.6585649829822</v>
      </c>
      <c r="H300" s="5">
        <f t="shared" si="18"/>
        <v>-973630.82526865695</v>
      </c>
    </row>
    <row r="301" spans="1:8" x14ac:dyDescent="0.3">
      <c r="A301">
        <v>300</v>
      </c>
      <c r="B301" s="5">
        <f t="shared" si="19"/>
        <v>-973630.82526865695</v>
      </c>
      <c r="C301" s="5">
        <f>Simulador!C11</f>
        <v>1785.400640245085</v>
      </c>
      <c r="D301" s="5">
        <f>B301*Simulador!C7</f>
        <v>-6287.0499176180574</v>
      </c>
      <c r="E301" s="5">
        <f t="shared" si="16"/>
        <v>8072.4505578631424</v>
      </c>
      <c r="F301" s="6">
        <v>0</v>
      </c>
      <c r="G301" s="5">
        <f t="shared" si="17"/>
        <v>8072.4505578631424</v>
      </c>
      <c r="H301" s="5">
        <f t="shared" si="18"/>
        <v>-981703.27582652005</v>
      </c>
    </row>
    <row r="302" spans="1:8" x14ac:dyDescent="0.3">
      <c r="A302">
        <v>301</v>
      </c>
      <c r="B302" s="5">
        <f t="shared" si="19"/>
        <v>-981703.27582652005</v>
      </c>
      <c r="C302" s="5">
        <f>Simulador!C11</f>
        <v>1785.400640245085</v>
      </c>
      <c r="D302" s="5">
        <f>B302*Simulador!C7</f>
        <v>-6339.1763481886837</v>
      </c>
      <c r="E302" s="5">
        <f t="shared" si="16"/>
        <v>8124.5769884337687</v>
      </c>
      <c r="F302" s="6">
        <v>0</v>
      </c>
      <c r="G302" s="5">
        <f t="shared" si="17"/>
        <v>8124.5769884337687</v>
      </c>
      <c r="H302" s="5">
        <f t="shared" si="18"/>
        <v>-989827.85281495377</v>
      </c>
    </row>
    <row r="303" spans="1:8" x14ac:dyDescent="0.3">
      <c r="A303">
        <v>302</v>
      </c>
      <c r="B303" s="5">
        <f t="shared" si="19"/>
        <v>-989827.85281495377</v>
      </c>
      <c r="C303" s="5">
        <f>Simulador!C11</f>
        <v>1785.400640245085</v>
      </c>
      <c r="D303" s="5">
        <f>B303*Simulador!C7</f>
        <v>-6391.63937602238</v>
      </c>
      <c r="E303" s="5">
        <f t="shared" si="16"/>
        <v>8177.040016267465</v>
      </c>
      <c r="F303" s="6">
        <v>0</v>
      </c>
      <c r="G303" s="5">
        <f t="shared" si="17"/>
        <v>8177.040016267465</v>
      </c>
      <c r="H303" s="5">
        <f t="shared" si="18"/>
        <v>-998004.89283122122</v>
      </c>
    </row>
    <row r="304" spans="1:8" x14ac:dyDescent="0.3">
      <c r="A304">
        <v>303</v>
      </c>
      <c r="B304" s="5">
        <f t="shared" si="19"/>
        <v>-998004.89283122122</v>
      </c>
      <c r="C304" s="5">
        <f>Simulador!C11</f>
        <v>1785.400640245085</v>
      </c>
      <c r="D304" s="5">
        <f>B304*Simulador!C7</f>
        <v>-6444.4411746368069</v>
      </c>
      <c r="E304" s="5">
        <f t="shared" si="16"/>
        <v>8229.8418148818928</v>
      </c>
      <c r="F304" s="6">
        <v>0</v>
      </c>
      <c r="G304" s="5">
        <f t="shared" si="17"/>
        <v>8229.8418148818928</v>
      </c>
      <c r="H304" s="5">
        <f t="shared" si="18"/>
        <v>-1006234.7346461031</v>
      </c>
    </row>
    <row r="305" spans="1:8" x14ac:dyDescent="0.3">
      <c r="A305">
        <v>304</v>
      </c>
      <c r="B305" s="5">
        <f t="shared" si="19"/>
        <v>-1006234.7346461031</v>
      </c>
      <c r="C305" s="5">
        <f>Simulador!C11</f>
        <v>1785.400640245085</v>
      </c>
      <c r="D305" s="5">
        <f>B305*Simulador!C7</f>
        <v>-6497.5839315847352</v>
      </c>
      <c r="E305" s="5">
        <f t="shared" si="16"/>
        <v>8282.9845718298202</v>
      </c>
      <c r="F305" s="6">
        <v>0</v>
      </c>
      <c r="G305" s="5">
        <f t="shared" si="17"/>
        <v>8282.9845718298202</v>
      </c>
      <c r="H305" s="5">
        <f t="shared" si="18"/>
        <v>-1014517.7192179329</v>
      </c>
    </row>
    <row r="306" spans="1:8" x14ac:dyDescent="0.3">
      <c r="A306">
        <v>305</v>
      </c>
      <c r="B306" s="5">
        <f t="shared" si="19"/>
        <v>-1014517.7192179329</v>
      </c>
      <c r="C306" s="5">
        <f>Simulador!C11</f>
        <v>1785.400640245085</v>
      </c>
      <c r="D306" s="5">
        <f>B306*Simulador!C7</f>
        <v>-6551.0698485446719</v>
      </c>
      <c r="E306" s="5">
        <f t="shared" si="16"/>
        <v>8336.4704887897569</v>
      </c>
      <c r="F306" s="6">
        <v>0</v>
      </c>
      <c r="G306" s="5">
        <f t="shared" si="17"/>
        <v>8336.4704887897569</v>
      </c>
      <c r="H306" s="5">
        <f t="shared" si="18"/>
        <v>-1022854.1897067226</v>
      </c>
    </row>
    <row r="307" spans="1:8" x14ac:dyDescent="0.3">
      <c r="A307">
        <v>306</v>
      </c>
      <c r="B307" s="5">
        <f t="shared" si="19"/>
        <v>-1022854.1897067226</v>
      </c>
      <c r="C307" s="5">
        <f>Simulador!C11</f>
        <v>1785.400640245085</v>
      </c>
      <c r="D307" s="5">
        <f>B307*Simulador!C7</f>
        <v>-6604.9011414120769</v>
      </c>
      <c r="E307" s="5">
        <f t="shared" si="16"/>
        <v>8390.3017816571628</v>
      </c>
      <c r="F307" s="6">
        <v>0</v>
      </c>
      <c r="G307" s="5">
        <f t="shared" si="17"/>
        <v>8390.3017816571628</v>
      </c>
      <c r="H307" s="5">
        <f t="shared" si="18"/>
        <v>-1031244.4914883798</v>
      </c>
    </row>
    <row r="308" spans="1:8" x14ac:dyDescent="0.3">
      <c r="A308">
        <v>307</v>
      </c>
      <c r="B308" s="5">
        <f t="shared" si="19"/>
        <v>-1031244.4914883798</v>
      </c>
      <c r="C308" s="5">
        <f>Simulador!C11</f>
        <v>1785.400640245085</v>
      </c>
      <c r="D308" s="5">
        <f>B308*Simulador!C7</f>
        <v>-6659.0800403911671</v>
      </c>
      <c r="E308" s="5">
        <f t="shared" si="16"/>
        <v>8444.4806806362521</v>
      </c>
      <c r="F308" s="6">
        <v>0</v>
      </c>
      <c r="G308" s="5">
        <f t="shared" si="17"/>
        <v>8444.4806806362521</v>
      </c>
      <c r="H308" s="5">
        <f t="shared" si="18"/>
        <v>-1039688.972169016</v>
      </c>
    </row>
    <row r="309" spans="1:8" x14ac:dyDescent="0.3">
      <c r="A309">
        <v>308</v>
      </c>
      <c r="B309" s="5">
        <f t="shared" si="19"/>
        <v>-1039688.972169016</v>
      </c>
      <c r="C309" s="5">
        <f>Simulador!C11</f>
        <v>1785.400640245085</v>
      </c>
      <c r="D309" s="5">
        <f>B309*Simulador!C7</f>
        <v>-6713.6087900873072</v>
      </c>
      <c r="E309" s="5">
        <f t="shared" si="16"/>
        <v>8499.0094303323931</v>
      </c>
      <c r="F309" s="6">
        <v>0</v>
      </c>
      <c r="G309" s="5">
        <f t="shared" si="17"/>
        <v>8499.0094303323931</v>
      </c>
      <c r="H309" s="5">
        <f t="shared" si="18"/>
        <v>-1048187.9815993484</v>
      </c>
    </row>
    <row r="310" spans="1:8" x14ac:dyDescent="0.3">
      <c r="A310">
        <v>309</v>
      </c>
      <c r="B310" s="5">
        <f t="shared" si="19"/>
        <v>-1048187.9815993484</v>
      </c>
      <c r="C310" s="5">
        <f>Simulador!C11</f>
        <v>1785.400640245085</v>
      </c>
      <c r="D310" s="5">
        <f>B310*Simulador!C7</f>
        <v>-6768.4896496000101</v>
      </c>
      <c r="E310" s="5">
        <f t="shared" si="16"/>
        <v>8553.8902898450942</v>
      </c>
      <c r="F310" s="6">
        <v>0</v>
      </c>
      <c r="G310" s="5">
        <f t="shared" si="17"/>
        <v>8553.8902898450942</v>
      </c>
      <c r="H310" s="5">
        <f t="shared" si="18"/>
        <v>-1056741.8718891935</v>
      </c>
    </row>
    <row r="311" spans="1:8" x14ac:dyDescent="0.3">
      <c r="A311">
        <v>310</v>
      </c>
      <c r="B311" s="5">
        <f t="shared" si="19"/>
        <v>-1056741.8718891935</v>
      </c>
      <c r="C311" s="5">
        <f>Simulador!C11</f>
        <v>1785.400640245085</v>
      </c>
      <c r="D311" s="5">
        <f>B311*Simulador!C7</f>
        <v>-6823.7248926165257</v>
      </c>
      <c r="E311" s="5">
        <f t="shared" si="16"/>
        <v>8609.1255328616098</v>
      </c>
      <c r="F311" s="6">
        <v>0</v>
      </c>
      <c r="G311" s="5">
        <f t="shared" si="17"/>
        <v>8609.1255328616098</v>
      </c>
      <c r="H311" s="5">
        <f t="shared" si="18"/>
        <v>-1065350.9974220551</v>
      </c>
    </row>
    <row r="312" spans="1:8" x14ac:dyDescent="0.3">
      <c r="A312">
        <v>311</v>
      </c>
      <c r="B312" s="5">
        <f t="shared" si="19"/>
        <v>-1065350.9974220551</v>
      </c>
      <c r="C312" s="5">
        <f>Simulador!C11</f>
        <v>1785.400640245085</v>
      </c>
      <c r="D312" s="5">
        <f>B312*Simulador!C7</f>
        <v>-6879.3168075060385</v>
      </c>
      <c r="E312" s="5">
        <f t="shared" si="16"/>
        <v>8664.7174477511235</v>
      </c>
      <c r="F312" s="6">
        <v>0</v>
      </c>
      <c r="G312" s="5">
        <f t="shared" si="17"/>
        <v>8664.7174477511235</v>
      </c>
      <c r="H312" s="5">
        <f t="shared" si="18"/>
        <v>-1074015.7148698063</v>
      </c>
    </row>
    <row r="313" spans="1:8" x14ac:dyDescent="0.3">
      <c r="A313">
        <v>312</v>
      </c>
      <c r="B313" s="5">
        <f t="shared" si="19"/>
        <v>-1074015.7148698063</v>
      </c>
      <c r="C313" s="5">
        <f>Simulador!C11</f>
        <v>1785.400640245085</v>
      </c>
      <c r="D313" s="5">
        <f>B313*Simulador!C7</f>
        <v>-6935.2676974144761</v>
      </c>
      <c r="E313" s="5">
        <f t="shared" si="16"/>
        <v>8720.6683376595611</v>
      </c>
      <c r="F313" s="6">
        <v>0</v>
      </c>
      <c r="G313" s="5">
        <f t="shared" si="17"/>
        <v>8720.6683376595611</v>
      </c>
      <c r="H313" s="5">
        <f t="shared" si="18"/>
        <v>-1082736.383207466</v>
      </c>
    </row>
    <row r="314" spans="1:8" x14ac:dyDescent="0.3">
      <c r="A314">
        <v>313</v>
      </c>
      <c r="B314" s="5">
        <f t="shared" si="19"/>
        <v>-1082736.383207466</v>
      </c>
      <c r="C314" s="5">
        <f>Simulador!C11</f>
        <v>1785.400640245085</v>
      </c>
      <c r="D314" s="5">
        <f>B314*Simulador!C7</f>
        <v>-6991.5798803599255</v>
      </c>
      <c r="E314" s="5">
        <f t="shared" si="16"/>
        <v>8776.9805206050114</v>
      </c>
      <c r="F314" s="6">
        <v>0</v>
      </c>
      <c r="G314" s="5">
        <f t="shared" si="17"/>
        <v>8776.9805206050114</v>
      </c>
      <c r="H314" s="5">
        <f t="shared" si="18"/>
        <v>-1091513.3637280711</v>
      </c>
    </row>
    <row r="315" spans="1:8" x14ac:dyDescent="0.3">
      <c r="A315">
        <v>314</v>
      </c>
      <c r="B315" s="5">
        <f t="shared" si="19"/>
        <v>-1091513.3637280711</v>
      </c>
      <c r="C315" s="5">
        <f>Simulador!C11</f>
        <v>1785.400640245085</v>
      </c>
      <c r="D315" s="5">
        <f>B315*Simulador!C7</f>
        <v>-7048.2556893286683</v>
      </c>
      <c r="E315" s="5">
        <f t="shared" si="16"/>
        <v>8833.6563295737542</v>
      </c>
      <c r="F315" s="6">
        <v>0</v>
      </c>
      <c r="G315" s="5">
        <f t="shared" si="17"/>
        <v>8833.6563295737542</v>
      </c>
      <c r="H315" s="5">
        <f t="shared" si="18"/>
        <v>-1100347.0200576449</v>
      </c>
    </row>
    <row r="316" spans="1:8" x14ac:dyDescent="0.3">
      <c r="A316">
        <v>315</v>
      </c>
      <c r="B316" s="5">
        <f t="shared" si="19"/>
        <v>-1100347.0200576449</v>
      </c>
      <c r="C316" s="5">
        <f>Simulador!C11</f>
        <v>1785.400640245085</v>
      </c>
      <c r="D316" s="5">
        <f>B316*Simulador!C7</f>
        <v>-7105.2974723718344</v>
      </c>
      <c r="E316" s="5">
        <f t="shared" si="16"/>
        <v>8890.6981126169194</v>
      </c>
      <c r="F316" s="6">
        <v>0</v>
      </c>
      <c r="G316" s="5">
        <f t="shared" si="17"/>
        <v>8890.6981126169194</v>
      </c>
      <c r="H316" s="5">
        <f t="shared" si="18"/>
        <v>-1109237.7181702619</v>
      </c>
    </row>
    <row r="317" spans="1:8" x14ac:dyDescent="0.3">
      <c r="A317">
        <v>316</v>
      </c>
      <c r="B317" s="5">
        <f t="shared" si="19"/>
        <v>-1109237.7181702619</v>
      </c>
      <c r="C317" s="5">
        <f>Simulador!C11</f>
        <v>1785.400640245085</v>
      </c>
      <c r="D317" s="5">
        <f>B317*Simulador!C7</f>
        <v>-7162.7075927026817</v>
      </c>
      <c r="E317" s="5">
        <f t="shared" si="16"/>
        <v>8948.1082329477667</v>
      </c>
      <c r="F317" s="6">
        <v>0</v>
      </c>
      <c r="G317" s="5">
        <f t="shared" si="17"/>
        <v>8948.1082329477667</v>
      </c>
      <c r="H317" s="5">
        <f t="shared" si="18"/>
        <v>-1118185.8264032097</v>
      </c>
    </row>
    <row r="318" spans="1:8" x14ac:dyDescent="0.3">
      <c r="A318">
        <v>317</v>
      </c>
      <c r="B318" s="5">
        <f t="shared" si="19"/>
        <v>-1118185.8264032097</v>
      </c>
      <c r="C318" s="5">
        <f>Simulador!C11</f>
        <v>1785.400640245085</v>
      </c>
      <c r="D318" s="5">
        <f>B318*Simulador!C7</f>
        <v>-7220.4884287945015</v>
      </c>
      <c r="E318" s="5">
        <f t="shared" si="16"/>
        <v>9005.8890690395856</v>
      </c>
      <c r="F318" s="6">
        <v>0</v>
      </c>
      <c r="G318" s="5">
        <f t="shared" si="17"/>
        <v>9005.8890690395856</v>
      </c>
      <c r="H318" s="5">
        <f t="shared" si="18"/>
        <v>-1127191.7154722493</v>
      </c>
    </row>
    <row r="319" spans="1:8" x14ac:dyDescent="0.3">
      <c r="A319">
        <v>318</v>
      </c>
      <c r="B319" s="5">
        <f t="shared" si="19"/>
        <v>-1127191.7154722493</v>
      </c>
      <c r="C319" s="5">
        <f>Simulador!C11</f>
        <v>1785.400640245085</v>
      </c>
      <c r="D319" s="5">
        <f>B319*Simulador!C7</f>
        <v>-7278.64237447916</v>
      </c>
      <c r="E319" s="5">
        <f t="shared" si="16"/>
        <v>9064.0430147242441</v>
      </c>
      <c r="F319" s="6">
        <v>0</v>
      </c>
      <c r="G319" s="5">
        <f t="shared" si="17"/>
        <v>9064.0430147242441</v>
      </c>
      <c r="H319" s="5">
        <f t="shared" si="18"/>
        <v>-1136255.7584869736</v>
      </c>
    </row>
    <row r="320" spans="1:8" x14ac:dyDescent="0.3">
      <c r="A320">
        <v>319</v>
      </c>
      <c r="B320" s="5">
        <f t="shared" si="19"/>
        <v>-1136255.7584869736</v>
      </c>
      <c r="C320" s="5">
        <f>Simulador!C11</f>
        <v>1785.400640245085</v>
      </c>
      <c r="D320" s="5">
        <f>B320*Simulador!C7</f>
        <v>-7337.1718390462711</v>
      </c>
      <c r="E320" s="5">
        <f t="shared" si="16"/>
        <v>9122.572479291357</v>
      </c>
      <c r="F320" s="6">
        <v>0</v>
      </c>
      <c r="G320" s="5">
        <f t="shared" si="17"/>
        <v>9122.572479291357</v>
      </c>
      <c r="H320" s="5">
        <f t="shared" si="18"/>
        <v>-1145378.3309662649</v>
      </c>
    </row>
    <row r="321" spans="1:8" x14ac:dyDescent="0.3">
      <c r="A321">
        <v>320</v>
      </c>
      <c r="B321" s="5">
        <f t="shared" si="19"/>
        <v>-1145378.3309662649</v>
      </c>
      <c r="C321" s="5">
        <f>Simulador!C11</f>
        <v>1785.400640245085</v>
      </c>
      <c r="D321" s="5">
        <f>B321*Simulador!C7</f>
        <v>-7396.079247343012</v>
      </c>
      <c r="E321" s="5">
        <f t="shared" si="16"/>
        <v>9181.479887588097</v>
      </c>
      <c r="F321" s="6">
        <v>0</v>
      </c>
      <c r="G321" s="5">
        <f t="shared" si="17"/>
        <v>9181.479887588097</v>
      </c>
      <c r="H321" s="5">
        <f t="shared" si="18"/>
        <v>-1154559.8108538531</v>
      </c>
    </row>
    <row r="322" spans="1:8" x14ac:dyDescent="0.3">
      <c r="A322">
        <v>321</v>
      </c>
      <c r="B322" s="5">
        <f t="shared" si="19"/>
        <v>-1154559.8108538531</v>
      </c>
      <c r="C322" s="5">
        <f>Simulador!C11</f>
        <v>1785.400640245085</v>
      </c>
      <c r="D322" s="5">
        <f>B322*Simulador!C7</f>
        <v>-7455.3670398745853</v>
      </c>
      <c r="E322" s="5">
        <f t="shared" ref="E322:E361" si="20">C322-D322</f>
        <v>9240.7676801196703</v>
      </c>
      <c r="F322" s="6">
        <v>0</v>
      </c>
      <c r="G322" s="5">
        <f t="shared" ref="G322:G361" si="21">E322+F322</f>
        <v>9240.7676801196703</v>
      </c>
      <c r="H322" s="5">
        <f t="shared" ref="H322:H361" si="22">B322-G322</f>
        <v>-1163800.5785339728</v>
      </c>
    </row>
    <row r="323" spans="1:8" x14ac:dyDescent="0.3">
      <c r="A323">
        <v>322</v>
      </c>
      <c r="B323" s="5">
        <f t="shared" ref="B323:B361" si="23">H322</f>
        <v>-1163800.5785339728</v>
      </c>
      <c r="C323" s="5">
        <f>Simulador!C11</f>
        <v>1785.400640245085</v>
      </c>
      <c r="D323" s="5">
        <f>B323*Simulador!C7</f>
        <v>-7515.0376729053269</v>
      </c>
      <c r="E323" s="5">
        <f t="shared" si="20"/>
        <v>9300.438313150411</v>
      </c>
      <c r="F323" s="6">
        <v>0</v>
      </c>
      <c r="G323" s="5">
        <f t="shared" si="21"/>
        <v>9300.438313150411</v>
      </c>
      <c r="H323" s="5">
        <f t="shared" si="22"/>
        <v>-1173101.0168471232</v>
      </c>
    </row>
    <row r="324" spans="1:8" x14ac:dyDescent="0.3">
      <c r="A324">
        <v>323</v>
      </c>
      <c r="B324" s="5">
        <f t="shared" si="23"/>
        <v>-1173101.0168471232</v>
      </c>
      <c r="C324" s="5">
        <f>Simulador!C11</f>
        <v>1785.400640245085</v>
      </c>
      <c r="D324" s="5">
        <f>B324*Simulador!C7</f>
        <v>-7575.0936185604669</v>
      </c>
      <c r="E324" s="5">
        <f t="shared" si="20"/>
        <v>9360.4942588055528</v>
      </c>
      <c r="F324" s="6">
        <v>0</v>
      </c>
      <c r="G324" s="5">
        <f t="shared" si="21"/>
        <v>9360.4942588055528</v>
      </c>
      <c r="H324" s="5">
        <f t="shared" si="22"/>
        <v>-1182461.5111059288</v>
      </c>
    </row>
    <row r="325" spans="1:8" x14ac:dyDescent="0.3">
      <c r="A325">
        <v>324</v>
      </c>
      <c r="B325" s="5">
        <f t="shared" si="23"/>
        <v>-1182461.5111059288</v>
      </c>
      <c r="C325" s="5">
        <f>Simulador!C11</f>
        <v>1785.400640245085</v>
      </c>
      <c r="D325" s="5">
        <f>B325*Simulador!C7</f>
        <v>-7635.537364928553</v>
      </c>
      <c r="E325" s="5">
        <f t="shared" si="20"/>
        <v>9420.9380051736371</v>
      </c>
      <c r="F325" s="6">
        <v>0</v>
      </c>
      <c r="G325" s="5">
        <f t="shared" si="21"/>
        <v>9420.9380051736371</v>
      </c>
      <c r="H325" s="5">
        <f t="shared" si="22"/>
        <v>-1191882.4491111024</v>
      </c>
    </row>
    <row r="326" spans="1:8" x14ac:dyDescent="0.3">
      <c r="A326">
        <v>325</v>
      </c>
      <c r="B326" s="5">
        <f t="shared" si="23"/>
        <v>-1191882.4491111024</v>
      </c>
      <c r="C326" s="5">
        <f>Simulador!C11</f>
        <v>1785.400640245085</v>
      </c>
      <c r="D326" s="5">
        <f>B326*Simulador!C7</f>
        <v>-7696.3714161645203</v>
      </c>
      <c r="E326" s="5">
        <f t="shared" si="20"/>
        <v>9481.7720564096053</v>
      </c>
      <c r="F326" s="6">
        <v>0</v>
      </c>
      <c r="G326" s="5">
        <f t="shared" si="21"/>
        <v>9481.7720564096053</v>
      </c>
      <c r="H326" s="5">
        <f t="shared" si="22"/>
        <v>-1201364.221167512</v>
      </c>
    </row>
    <row r="327" spans="1:8" x14ac:dyDescent="0.3">
      <c r="A327">
        <v>326</v>
      </c>
      <c r="B327" s="5">
        <f t="shared" si="23"/>
        <v>-1201364.221167512</v>
      </c>
      <c r="C327" s="5">
        <f>Simulador!C11</f>
        <v>1785.400640245085</v>
      </c>
      <c r="D327" s="5">
        <f>B327*Simulador!C7</f>
        <v>-7757.5982925934532</v>
      </c>
      <c r="E327" s="5">
        <f t="shared" si="20"/>
        <v>9542.9989328385382</v>
      </c>
      <c r="F327" s="6">
        <v>0</v>
      </c>
      <c r="G327" s="5">
        <f t="shared" si="21"/>
        <v>9542.9989328385382</v>
      </c>
      <c r="H327" s="5">
        <f t="shared" si="22"/>
        <v>-1210907.2201003504</v>
      </c>
    </row>
    <row r="328" spans="1:8" x14ac:dyDescent="0.3">
      <c r="A328">
        <v>327</v>
      </c>
      <c r="B328" s="5">
        <f t="shared" si="23"/>
        <v>-1210907.2201003504</v>
      </c>
      <c r="C328" s="5">
        <f>Simulador!C11</f>
        <v>1785.400640245085</v>
      </c>
      <c r="D328" s="5">
        <f>B328*Simulador!C7</f>
        <v>-7819.2205308149842</v>
      </c>
      <c r="E328" s="5">
        <f t="shared" si="20"/>
        <v>9604.6211710600692</v>
      </c>
      <c r="F328" s="6">
        <v>0</v>
      </c>
      <c r="G328" s="5">
        <f t="shared" si="21"/>
        <v>9604.6211710600692</v>
      </c>
      <c r="H328" s="5">
        <f t="shared" si="22"/>
        <v>-1220511.8412714105</v>
      </c>
    </row>
    <row r="329" spans="1:8" x14ac:dyDescent="0.3">
      <c r="A329">
        <v>328</v>
      </c>
      <c r="B329" s="5">
        <f t="shared" si="23"/>
        <v>-1220511.8412714105</v>
      </c>
      <c r="C329" s="5">
        <f>Simulador!C11</f>
        <v>1785.400640245085</v>
      </c>
      <c r="D329" s="5">
        <f>B329*Simulador!C7</f>
        <v>-7881.2406838083971</v>
      </c>
      <c r="E329" s="5">
        <f t="shared" si="20"/>
        <v>9666.6413240534821</v>
      </c>
      <c r="F329" s="6">
        <v>0</v>
      </c>
      <c r="G329" s="5">
        <f t="shared" si="21"/>
        <v>9666.6413240534821</v>
      </c>
      <c r="H329" s="5">
        <f t="shared" si="22"/>
        <v>-1230178.482595464</v>
      </c>
    </row>
    <row r="330" spans="1:8" x14ac:dyDescent="0.3">
      <c r="A330">
        <v>329</v>
      </c>
      <c r="B330" s="5">
        <f t="shared" si="23"/>
        <v>-1230178.482595464</v>
      </c>
      <c r="C330" s="5">
        <f>Simulador!C11</f>
        <v>1785.400640245085</v>
      </c>
      <c r="D330" s="5">
        <f>B330*Simulador!C7</f>
        <v>-7943.6613210383912</v>
      </c>
      <c r="E330" s="5">
        <f t="shared" si="20"/>
        <v>9729.0619612834762</v>
      </c>
      <c r="F330" s="6">
        <v>0</v>
      </c>
      <c r="G330" s="5">
        <f t="shared" si="21"/>
        <v>9729.0619612834762</v>
      </c>
      <c r="H330" s="5">
        <f t="shared" si="22"/>
        <v>-1239907.5445567474</v>
      </c>
    </row>
    <row r="331" spans="1:8" x14ac:dyDescent="0.3">
      <c r="A331">
        <v>330</v>
      </c>
      <c r="B331" s="5">
        <f t="shared" si="23"/>
        <v>-1239907.5445567474</v>
      </c>
      <c r="C331" s="5">
        <f>Simulador!C11</f>
        <v>1785.400640245085</v>
      </c>
      <c r="D331" s="5">
        <f>B331*Simulador!C7</f>
        <v>-8006.4850285615275</v>
      </c>
      <c r="E331" s="5">
        <f t="shared" si="20"/>
        <v>9791.8856688066116</v>
      </c>
      <c r="F331" s="6">
        <v>0</v>
      </c>
      <c r="G331" s="5">
        <f t="shared" si="21"/>
        <v>9791.8856688066116</v>
      </c>
      <c r="H331" s="5">
        <f t="shared" si="22"/>
        <v>-1249699.4302255539</v>
      </c>
    </row>
    <row r="332" spans="1:8" x14ac:dyDescent="0.3">
      <c r="A332">
        <v>331</v>
      </c>
      <c r="B332" s="5">
        <f t="shared" si="23"/>
        <v>-1249699.4302255539</v>
      </c>
      <c r="C332" s="5">
        <f>Simulador!C11</f>
        <v>1785.400640245085</v>
      </c>
      <c r="D332" s="5">
        <f>B332*Simulador!C7</f>
        <v>-8069.7144091333766</v>
      </c>
      <c r="E332" s="5">
        <f t="shared" si="20"/>
        <v>9855.1150493784626</v>
      </c>
      <c r="F332" s="6">
        <v>0</v>
      </c>
      <c r="G332" s="5">
        <f t="shared" si="21"/>
        <v>9855.1150493784626</v>
      </c>
      <c r="H332" s="5">
        <f t="shared" si="22"/>
        <v>-1259554.5452749324</v>
      </c>
    </row>
    <row r="333" spans="1:8" x14ac:dyDescent="0.3">
      <c r="A333">
        <v>332</v>
      </c>
      <c r="B333" s="5">
        <f t="shared" si="23"/>
        <v>-1259554.5452749324</v>
      </c>
      <c r="C333" s="5">
        <f>Simulador!C11</f>
        <v>1785.400640245085</v>
      </c>
      <c r="D333" s="5">
        <f>B333*Simulador!C7</f>
        <v>-8133.3520823163453</v>
      </c>
      <c r="E333" s="5">
        <f t="shared" si="20"/>
        <v>9918.7527225614303</v>
      </c>
      <c r="F333" s="6">
        <v>0</v>
      </c>
      <c r="G333" s="5">
        <f t="shared" si="21"/>
        <v>9918.7527225614303</v>
      </c>
      <c r="H333" s="5">
        <f t="shared" si="22"/>
        <v>-1269473.2979974938</v>
      </c>
    </row>
    <row r="334" spans="1:8" x14ac:dyDescent="0.3">
      <c r="A334">
        <v>333</v>
      </c>
      <c r="B334" s="5">
        <f t="shared" si="23"/>
        <v>-1269473.2979974938</v>
      </c>
      <c r="C334" s="5">
        <f>Simulador!C11</f>
        <v>1785.400640245085</v>
      </c>
      <c r="D334" s="5">
        <f>B334*Simulador!C7</f>
        <v>-8197.4006845882031</v>
      </c>
      <c r="E334" s="5">
        <f t="shared" si="20"/>
        <v>9982.8013248332882</v>
      </c>
      <c r="F334" s="6">
        <v>0</v>
      </c>
      <c r="G334" s="5">
        <f t="shared" si="21"/>
        <v>9982.8013248332882</v>
      </c>
      <c r="H334" s="5">
        <f t="shared" si="22"/>
        <v>-1279456.0993223269</v>
      </c>
    </row>
    <row r="335" spans="1:8" x14ac:dyDescent="0.3">
      <c r="A335">
        <v>334</v>
      </c>
      <c r="B335" s="5">
        <f t="shared" si="23"/>
        <v>-1279456.0993223269</v>
      </c>
      <c r="C335" s="5">
        <f>Simulador!C11</f>
        <v>1785.400640245085</v>
      </c>
      <c r="D335" s="5">
        <f>B335*Simulador!C7</f>
        <v>-8261.8628694513136</v>
      </c>
      <c r="E335" s="5">
        <f t="shared" si="20"/>
        <v>10047.263509696399</v>
      </c>
      <c r="F335" s="6">
        <v>0</v>
      </c>
      <c r="G335" s="5">
        <f t="shared" si="21"/>
        <v>10047.263509696399</v>
      </c>
      <c r="H335" s="5">
        <f t="shared" si="22"/>
        <v>-1289503.3628320233</v>
      </c>
    </row>
    <row r="336" spans="1:8" x14ac:dyDescent="0.3">
      <c r="A336">
        <v>335</v>
      </c>
      <c r="B336" s="5">
        <f t="shared" si="23"/>
        <v>-1289503.3628320233</v>
      </c>
      <c r="C336" s="5">
        <f>Simulador!C11</f>
        <v>1785.400640245085</v>
      </c>
      <c r="D336" s="5">
        <f>B336*Simulador!C7</f>
        <v>-8326.7413075425611</v>
      </c>
      <c r="E336" s="5">
        <f t="shared" si="20"/>
        <v>10112.141947787646</v>
      </c>
      <c r="F336" s="6">
        <v>0</v>
      </c>
      <c r="G336" s="5">
        <f t="shared" si="21"/>
        <v>10112.141947787646</v>
      </c>
      <c r="H336" s="5">
        <f t="shared" si="22"/>
        <v>-1299615.504779811</v>
      </c>
    </row>
    <row r="337" spans="1:8" x14ac:dyDescent="0.3">
      <c r="A337">
        <v>336</v>
      </c>
      <c r="B337" s="5">
        <f t="shared" si="23"/>
        <v>-1299615.504779811</v>
      </c>
      <c r="C337" s="5">
        <f>Simulador!C11</f>
        <v>1785.400640245085</v>
      </c>
      <c r="D337" s="5">
        <f>B337*Simulador!C7</f>
        <v>-8392.0386867440029</v>
      </c>
      <c r="E337" s="5">
        <f t="shared" si="20"/>
        <v>10177.439326989088</v>
      </c>
      <c r="F337" s="6">
        <v>0</v>
      </c>
      <c r="G337" s="5">
        <f t="shared" si="21"/>
        <v>10177.439326989088</v>
      </c>
      <c r="H337" s="5">
        <f t="shared" si="22"/>
        <v>-1309792.9441068</v>
      </c>
    </row>
    <row r="338" spans="1:8" x14ac:dyDescent="0.3">
      <c r="A338">
        <v>337</v>
      </c>
      <c r="B338" s="5">
        <f t="shared" si="23"/>
        <v>-1309792.9441068</v>
      </c>
      <c r="C338" s="5">
        <f>Simulador!C11</f>
        <v>1785.400640245085</v>
      </c>
      <c r="D338" s="5">
        <f>B338*Simulador!C7</f>
        <v>-8457.7577122942203</v>
      </c>
      <c r="E338" s="5">
        <f t="shared" si="20"/>
        <v>10243.158352539305</v>
      </c>
      <c r="F338" s="6">
        <v>0</v>
      </c>
      <c r="G338" s="5">
        <f t="shared" si="21"/>
        <v>10243.158352539305</v>
      </c>
      <c r="H338" s="5">
        <f t="shared" si="22"/>
        <v>-1320036.1024593394</v>
      </c>
    </row>
    <row r="339" spans="1:8" x14ac:dyDescent="0.3">
      <c r="A339">
        <v>338</v>
      </c>
      <c r="B339" s="5">
        <f t="shared" si="23"/>
        <v>-1320036.1024593394</v>
      </c>
      <c r="C339" s="5">
        <f>Simulador!C11</f>
        <v>1785.400640245085</v>
      </c>
      <c r="D339" s="5">
        <f>B339*Simulador!C7</f>
        <v>-8523.9011069003955</v>
      </c>
      <c r="E339" s="5">
        <f t="shared" si="20"/>
        <v>10309.30174714548</v>
      </c>
      <c r="F339" s="6">
        <v>0</v>
      </c>
      <c r="G339" s="5">
        <f t="shared" si="21"/>
        <v>10309.30174714548</v>
      </c>
      <c r="H339" s="5">
        <f t="shared" si="22"/>
        <v>-1330345.404206485</v>
      </c>
    </row>
    <row r="340" spans="1:8" x14ac:dyDescent="0.3">
      <c r="A340">
        <v>339</v>
      </c>
      <c r="B340" s="5">
        <f t="shared" si="23"/>
        <v>-1330345.404206485</v>
      </c>
      <c r="C340" s="5">
        <f>Simulador!C11</f>
        <v>1785.400640245085</v>
      </c>
      <c r="D340" s="5">
        <f>B340*Simulador!C7</f>
        <v>-8590.4716108511184</v>
      </c>
      <c r="E340" s="5">
        <f t="shared" si="20"/>
        <v>10375.872251096203</v>
      </c>
      <c r="F340" s="6">
        <v>0</v>
      </c>
      <c r="G340" s="5">
        <f t="shared" si="21"/>
        <v>10375.872251096203</v>
      </c>
      <c r="H340" s="5">
        <f t="shared" si="22"/>
        <v>-1340721.2764575812</v>
      </c>
    </row>
    <row r="341" spans="1:8" x14ac:dyDescent="0.3">
      <c r="A341">
        <v>340</v>
      </c>
      <c r="B341" s="5">
        <f t="shared" si="23"/>
        <v>-1340721.2764575812</v>
      </c>
      <c r="C341" s="5">
        <f>Simulador!C11</f>
        <v>1785.400640245085</v>
      </c>
      <c r="D341" s="5">
        <f>B341*Simulador!C7</f>
        <v>-8657.4719821299022</v>
      </c>
      <c r="E341" s="5">
        <f t="shared" si="20"/>
        <v>10442.872622374987</v>
      </c>
      <c r="F341" s="6">
        <v>0</v>
      </c>
      <c r="G341" s="5">
        <f t="shared" si="21"/>
        <v>10442.872622374987</v>
      </c>
      <c r="H341" s="5">
        <f t="shared" si="22"/>
        <v>-1351164.1490799561</v>
      </c>
    </row>
    <row r="342" spans="1:8" x14ac:dyDescent="0.3">
      <c r="A342">
        <v>341</v>
      </c>
      <c r="B342" s="5">
        <f t="shared" si="23"/>
        <v>-1351164.1490799561</v>
      </c>
      <c r="C342" s="5">
        <f>Simulador!C11</f>
        <v>1785.400640245085</v>
      </c>
      <c r="D342" s="5">
        <f>B342*Simulador!C7</f>
        <v>-8724.9049965294635</v>
      </c>
      <c r="E342" s="5">
        <f t="shared" si="20"/>
        <v>10510.305636774548</v>
      </c>
      <c r="F342" s="6">
        <v>0</v>
      </c>
      <c r="G342" s="5">
        <f t="shared" si="21"/>
        <v>10510.305636774548</v>
      </c>
      <c r="H342" s="5">
        <f t="shared" si="22"/>
        <v>-1361674.4547167306</v>
      </c>
    </row>
    <row r="343" spans="1:8" x14ac:dyDescent="0.3">
      <c r="A343">
        <v>342</v>
      </c>
      <c r="B343" s="5">
        <f t="shared" si="23"/>
        <v>-1361674.4547167306</v>
      </c>
      <c r="C343" s="5">
        <f>Simulador!C11</f>
        <v>1785.400640245085</v>
      </c>
      <c r="D343" s="5">
        <f>B343*Simulador!C7</f>
        <v>-8792.7734477667072</v>
      </c>
      <c r="E343" s="5">
        <f t="shared" si="20"/>
        <v>10578.174088011792</v>
      </c>
      <c r="F343" s="6">
        <v>0</v>
      </c>
      <c r="G343" s="5">
        <f t="shared" si="21"/>
        <v>10578.174088011792</v>
      </c>
      <c r="H343" s="5">
        <f t="shared" si="22"/>
        <v>-1372252.6288047424</v>
      </c>
    </row>
    <row r="344" spans="1:8" x14ac:dyDescent="0.3">
      <c r="A344">
        <v>343</v>
      </c>
      <c r="B344" s="5">
        <f t="shared" si="23"/>
        <v>-1372252.6288047424</v>
      </c>
      <c r="C344" s="5">
        <f>Simulador!C11</f>
        <v>1785.400640245085</v>
      </c>
      <c r="D344" s="5">
        <f>B344*Simulador!C7</f>
        <v>-8861.0801475984772</v>
      </c>
      <c r="E344" s="5">
        <f t="shared" si="20"/>
        <v>10646.480787843562</v>
      </c>
      <c r="F344" s="6">
        <v>0</v>
      </c>
      <c r="G344" s="5">
        <f t="shared" si="21"/>
        <v>10646.480787843562</v>
      </c>
      <c r="H344" s="5">
        <f t="shared" si="22"/>
        <v>-1382899.1095925858</v>
      </c>
    </row>
    <row r="345" spans="1:8" x14ac:dyDescent="0.3">
      <c r="A345">
        <v>344</v>
      </c>
      <c r="B345" s="5">
        <f t="shared" si="23"/>
        <v>-1382899.1095925858</v>
      </c>
      <c r="C345" s="5">
        <f>Simulador!C11</f>
        <v>1785.400640245085</v>
      </c>
      <c r="D345" s="5">
        <f>B345*Simulador!C7</f>
        <v>-8929.8279259380379</v>
      </c>
      <c r="E345" s="5">
        <f t="shared" si="20"/>
        <v>10715.228566183123</v>
      </c>
      <c r="F345" s="6">
        <v>0</v>
      </c>
      <c r="G345" s="5">
        <f t="shared" si="21"/>
        <v>10715.228566183123</v>
      </c>
      <c r="H345" s="5">
        <f t="shared" si="22"/>
        <v>-1393614.3381587688</v>
      </c>
    </row>
    <row r="346" spans="1:8" x14ac:dyDescent="0.3">
      <c r="A346">
        <v>345</v>
      </c>
      <c r="B346" s="5">
        <f t="shared" si="23"/>
        <v>-1393614.3381587688</v>
      </c>
      <c r="C346" s="5">
        <f>Simulador!C11</f>
        <v>1785.400640245085</v>
      </c>
      <c r="D346" s="5">
        <f>B346*Simulador!C7</f>
        <v>-8999.0196309723269</v>
      </c>
      <c r="E346" s="5">
        <f t="shared" si="20"/>
        <v>10784.420271217412</v>
      </c>
      <c r="F346" s="6">
        <v>0</v>
      </c>
      <c r="G346" s="5">
        <f t="shared" si="21"/>
        <v>10784.420271217412</v>
      </c>
      <c r="H346" s="5">
        <f t="shared" si="22"/>
        <v>-1404398.7584299862</v>
      </c>
    </row>
    <row r="347" spans="1:8" x14ac:dyDescent="0.3">
      <c r="A347">
        <v>346</v>
      </c>
      <c r="B347" s="5">
        <f t="shared" si="23"/>
        <v>-1404398.7584299862</v>
      </c>
      <c r="C347" s="5">
        <f>Simulador!C11</f>
        <v>1785.400640245085</v>
      </c>
      <c r="D347" s="5">
        <f>B347*Simulador!C7</f>
        <v>-9068.6581292799438</v>
      </c>
      <c r="E347" s="5">
        <f t="shared" si="20"/>
        <v>10854.058769525029</v>
      </c>
      <c r="F347" s="6">
        <v>0</v>
      </c>
      <c r="G347" s="5">
        <f t="shared" si="21"/>
        <v>10854.058769525029</v>
      </c>
      <c r="H347" s="5">
        <f t="shared" si="22"/>
        <v>-1415252.8171995112</v>
      </c>
    </row>
    <row r="348" spans="1:8" x14ac:dyDescent="0.3">
      <c r="A348">
        <v>347</v>
      </c>
      <c r="B348" s="5">
        <f t="shared" si="23"/>
        <v>-1415252.8171995112</v>
      </c>
      <c r="C348" s="5">
        <f>Simulador!C11</f>
        <v>1785.400640245085</v>
      </c>
      <c r="D348" s="5">
        <f>B348*Simulador!C7</f>
        <v>-9138.7463059499187</v>
      </c>
      <c r="E348" s="5">
        <f t="shared" si="20"/>
        <v>10924.146946195004</v>
      </c>
      <c r="F348" s="6">
        <v>0</v>
      </c>
      <c r="G348" s="5">
        <f t="shared" si="21"/>
        <v>10924.146946195004</v>
      </c>
      <c r="H348" s="5">
        <f t="shared" si="22"/>
        <v>-1426176.9641457063</v>
      </c>
    </row>
    <row r="349" spans="1:8" x14ac:dyDescent="0.3">
      <c r="A349">
        <v>348</v>
      </c>
      <c r="B349" s="5">
        <f t="shared" si="23"/>
        <v>-1426176.9641457063</v>
      </c>
      <c r="C349" s="5">
        <f>Simulador!C11</f>
        <v>1785.400640245085</v>
      </c>
      <c r="D349" s="5">
        <f>B349*Simulador!C7</f>
        <v>-9209.2870647012369</v>
      </c>
      <c r="E349" s="5">
        <f t="shared" si="20"/>
        <v>10994.687704946322</v>
      </c>
      <c r="F349" s="6">
        <v>0</v>
      </c>
      <c r="G349" s="5">
        <f t="shared" si="21"/>
        <v>10994.687704946322</v>
      </c>
      <c r="H349" s="5">
        <f t="shared" si="22"/>
        <v>-1437171.6518506526</v>
      </c>
    </row>
    <row r="350" spans="1:8" x14ac:dyDescent="0.3">
      <c r="A350">
        <v>349</v>
      </c>
      <c r="B350" s="5">
        <f t="shared" si="23"/>
        <v>-1437171.6518506526</v>
      </c>
      <c r="C350" s="5">
        <f>Simulador!C11</f>
        <v>1785.400640245085</v>
      </c>
      <c r="D350" s="5">
        <f>B350*Simulador!C7</f>
        <v>-9280.2833280031373</v>
      </c>
      <c r="E350" s="5">
        <f t="shared" si="20"/>
        <v>11065.683968248222</v>
      </c>
      <c r="F350" s="6">
        <v>0</v>
      </c>
      <c r="G350" s="5">
        <f t="shared" si="21"/>
        <v>11065.683968248222</v>
      </c>
      <c r="H350" s="5">
        <f t="shared" si="22"/>
        <v>-1448237.335818901</v>
      </c>
    </row>
    <row r="351" spans="1:8" x14ac:dyDescent="0.3">
      <c r="A351">
        <v>350</v>
      </c>
      <c r="B351" s="5">
        <f t="shared" si="23"/>
        <v>-1448237.335818901</v>
      </c>
      <c r="C351" s="5">
        <f>Simulador!C11</f>
        <v>1785.400640245085</v>
      </c>
      <c r="D351" s="5">
        <f>B351*Simulador!C7</f>
        <v>-9351.7380371961899</v>
      </c>
      <c r="E351" s="5">
        <f t="shared" si="20"/>
        <v>11137.138677441275</v>
      </c>
      <c r="F351" s="6">
        <v>0</v>
      </c>
      <c r="G351" s="5">
        <f t="shared" si="21"/>
        <v>11137.138677441275</v>
      </c>
      <c r="H351" s="5">
        <f t="shared" si="22"/>
        <v>-1459374.4744963422</v>
      </c>
    </row>
    <row r="352" spans="1:8" x14ac:dyDescent="0.3">
      <c r="A352">
        <v>351</v>
      </c>
      <c r="B352" s="5">
        <f t="shared" si="23"/>
        <v>-1459374.4744963422</v>
      </c>
      <c r="C352" s="5">
        <f>Simulador!C11</f>
        <v>1785.400640245085</v>
      </c>
      <c r="D352" s="5">
        <f>B352*Simulador!C7</f>
        <v>-9423.6541526141536</v>
      </c>
      <c r="E352" s="5">
        <f t="shared" si="20"/>
        <v>11209.054792859239</v>
      </c>
      <c r="F352" s="6">
        <v>0</v>
      </c>
      <c r="G352" s="5">
        <f t="shared" si="21"/>
        <v>11209.054792859239</v>
      </c>
      <c r="H352" s="5">
        <f t="shared" si="22"/>
        <v>-1470583.5292892014</v>
      </c>
    </row>
    <row r="353" spans="1:8" x14ac:dyDescent="0.3">
      <c r="A353">
        <v>352</v>
      </c>
      <c r="B353" s="5">
        <f t="shared" si="23"/>
        <v>-1470583.5292892014</v>
      </c>
      <c r="C353" s="5">
        <f>Simulador!C11</f>
        <v>1785.400640245085</v>
      </c>
      <c r="D353" s="5">
        <f>B353*Simulador!C7</f>
        <v>-9496.0346537066234</v>
      </c>
      <c r="E353" s="5">
        <f t="shared" si="20"/>
        <v>11281.435293951708</v>
      </c>
      <c r="F353" s="6">
        <v>0</v>
      </c>
      <c r="G353" s="5">
        <f t="shared" si="21"/>
        <v>11281.435293951708</v>
      </c>
      <c r="H353" s="5">
        <f t="shared" si="22"/>
        <v>-1481864.9645831531</v>
      </c>
    </row>
    <row r="354" spans="1:8" x14ac:dyDescent="0.3">
      <c r="A354">
        <v>353</v>
      </c>
      <c r="B354" s="5">
        <f t="shared" si="23"/>
        <v>-1481864.9645831531</v>
      </c>
      <c r="C354" s="5">
        <f>Simulador!C11</f>
        <v>1785.400640245085</v>
      </c>
      <c r="D354" s="5">
        <f>B354*Simulador!C7</f>
        <v>-9568.8825391624705</v>
      </c>
      <c r="E354" s="5">
        <f t="shared" si="20"/>
        <v>11354.283179407556</v>
      </c>
      <c r="F354" s="6">
        <v>0</v>
      </c>
      <c r="G354" s="5">
        <f t="shared" si="21"/>
        <v>11354.283179407556</v>
      </c>
      <c r="H354" s="5">
        <f t="shared" si="22"/>
        <v>-1493219.2477625606</v>
      </c>
    </row>
    <row r="355" spans="1:8" x14ac:dyDescent="0.3">
      <c r="A355">
        <v>354</v>
      </c>
      <c r="B355" s="5">
        <f t="shared" si="23"/>
        <v>-1493219.2477625606</v>
      </c>
      <c r="C355" s="5">
        <f>Simulador!C11</f>
        <v>1785.400640245085</v>
      </c>
      <c r="D355" s="5">
        <f>B355*Simulador!C7</f>
        <v>-9642.2008270340648</v>
      </c>
      <c r="E355" s="5">
        <f t="shared" si="20"/>
        <v>11427.60146727915</v>
      </c>
      <c r="F355" s="6">
        <v>0</v>
      </c>
      <c r="G355" s="5">
        <f t="shared" si="21"/>
        <v>11427.60146727915</v>
      </c>
      <c r="H355" s="5">
        <f t="shared" si="22"/>
        <v>-1504646.8492298399</v>
      </c>
    </row>
    <row r="356" spans="1:8" x14ac:dyDescent="0.3">
      <c r="A356">
        <v>355</v>
      </c>
      <c r="B356" s="5">
        <f t="shared" si="23"/>
        <v>-1504646.8492298399</v>
      </c>
      <c r="C356" s="5">
        <f>Simulador!C11</f>
        <v>1785.400640245085</v>
      </c>
      <c r="D356" s="5">
        <f>B356*Simulador!C7</f>
        <v>-9715.9925548623269</v>
      </c>
      <c r="E356" s="5">
        <f t="shared" si="20"/>
        <v>11501.393195107412</v>
      </c>
      <c r="F356" s="6">
        <v>0</v>
      </c>
      <c r="G356" s="5">
        <f t="shared" si="21"/>
        <v>11501.393195107412</v>
      </c>
      <c r="H356" s="5">
        <f t="shared" si="22"/>
        <v>-1516148.2424249472</v>
      </c>
    </row>
    <row r="357" spans="1:8" x14ac:dyDescent="0.3">
      <c r="A357">
        <v>356</v>
      </c>
      <c r="B357" s="5">
        <f t="shared" si="23"/>
        <v>-1516148.2424249472</v>
      </c>
      <c r="C357" s="5">
        <f>Simulador!C11</f>
        <v>1785.400640245085</v>
      </c>
      <c r="D357" s="5">
        <f>B357*Simulador!C7</f>
        <v>-9790.2607798025547</v>
      </c>
      <c r="E357" s="5">
        <f t="shared" si="20"/>
        <v>11575.66142004764</v>
      </c>
      <c r="F357" s="6">
        <v>0</v>
      </c>
      <c r="G357" s="5">
        <f t="shared" si="21"/>
        <v>11575.66142004764</v>
      </c>
      <c r="H357" s="5">
        <f t="shared" si="22"/>
        <v>-1527723.903844995</v>
      </c>
    </row>
    <row r="358" spans="1:8" x14ac:dyDescent="0.3">
      <c r="A358">
        <v>357</v>
      </c>
      <c r="B358" s="5">
        <f t="shared" si="23"/>
        <v>-1527723.903844995</v>
      </c>
      <c r="C358" s="5">
        <f>Simulador!C11</f>
        <v>1785.400640245085</v>
      </c>
      <c r="D358" s="5">
        <f>B358*Simulador!C7</f>
        <v>-9865.008578751098</v>
      </c>
      <c r="E358" s="5">
        <f t="shared" si="20"/>
        <v>11650.409218996183</v>
      </c>
      <c r="F358" s="6">
        <v>0</v>
      </c>
      <c r="G358" s="5">
        <f t="shared" si="21"/>
        <v>11650.409218996183</v>
      </c>
      <c r="H358" s="5">
        <f t="shared" si="22"/>
        <v>-1539374.3130639913</v>
      </c>
    </row>
    <row r="359" spans="1:8" x14ac:dyDescent="0.3">
      <c r="A359">
        <v>358</v>
      </c>
      <c r="B359" s="5">
        <f t="shared" si="23"/>
        <v>-1539374.3130639913</v>
      </c>
      <c r="C359" s="5">
        <f>Simulador!C11</f>
        <v>1785.400640245085</v>
      </c>
      <c r="D359" s="5">
        <f>B359*Simulador!C7</f>
        <v>-9940.2390484728185</v>
      </c>
      <c r="E359" s="5">
        <f t="shared" si="20"/>
        <v>11725.639688717903</v>
      </c>
      <c r="F359" s="6">
        <v>0</v>
      </c>
      <c r="G359" s="5">
        <f t="shared" si="21"/>
        <v>11725.639688717903</v>
      </c>
      <c r="H359" s="5">
        <f t="shared" si="22"/>
        <v>-1551099.9527527092</v>
      </c>
    </row>
    <row r="360" spans="1:8" x14ac:dyDescent="0.3">
      <c r="A360">
        <v>359</v>
      </c>
      <c r="B360" s="5">
        <f t="shared" si="23"/>
        <v>-1551099.9527527092</v>
      </c>
      <c r="C360" s="5">
        <f>Simulador!C11</f>
        <v>1785.400640245085</v>
      </c>
      <c r="D360" s="5">
        <f>B360*Simulador!C7</f>
        <v>-10015.955305729392</v>
      </c>
      <c r="E360" s="5">
        <f t="shared" si="20"/>
        <v>11801.355945974477</v>
      </c>
      <c r="F360" s="6">
        <v>0</v>
      </c>
      <c r="G360" s="5">
        <f t="shared" si="21"/>
        <v>11801.355945974477</v>
      </c>
      <c r="H360" s="5">
        <f t="shared" si="22"/>
        <v>-1562901.3086986837</v>
      </c>
    </row>
    <row r="361" spans="1:8" x14ac:dyDescent="0.3">
      <c r="A361">
        <v>360</v>
      </c>
      <c r="B361" s="5">
        <f t="shared" si="23"/>
        <v>-1562901.3086986837</v>
      </c>
      <c r="C361" s="5">
        <f>Simulador!C11</f>
        <v>1785.400640245085</v>
      </c>
      <c r="D361" s="5">
        <f>B361*Simulador!C7</f>
        <v>-10092.160487408442</v>
      </c>
      <c r="E361" s="5">
        <f t="shared" si="20"/>
        <v>11877.561127653527</v>
      </c>
      <c r="F361" s="6">
        <v>0</v>
      </c>
      <c r="G361" s="5">
        <f t="shared" si="21"/>
        <v>11877.561127653527</v>
      </c>
      <c r="H361" s="5">
        <f t="shared" si="22"/>
        <v>-1574778.8698263373</v>
      </c>
    </row>
  </sheetData>
  <conditionalFormatting sqref="A1:A361">
    <cfRule type="expression" dxfId="2" priority="2">
      <formula>MOD(A1,12)=0</formula>
    </cfRule>
  </conditionalFormatting>
  <conditionalFormatting sqref="A1:H361">
    <cfRule type="expression" dxfId="1" priority="1">
      <formula>MOD($A1,12)=0</formula>
    </cfRule>
  </conditionalFormatting>
  <conditionalFormatting sqref="B2:H361">
    <cfRule type="cellIs" dxfId="0" priority="3" operator="lessThan">
      <formula>0</formula>
    </cfRule>
  </conditionalFormatting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L12" sqref="L12"/>
    </sheetView>
  </sheetViews>
  <sheetFormatPr baseColWidth="10" defaultColWidth="8.88671875" defaultRowHeight="14.4" x14ac:dyDescent="0.3"/>
  <cols>
    <col min="1" max="1" width="26" customWidth="1"/>
    <col min="2" max="2" width="22" customWidth="1"/>
  </cols>
  <sheetData>
    <row r="1" spans="1:2" x14ac:dyDescent="0.3">
      <c r="A1" t="s">
        <v>18</v>
      </c>
      <c r="B1">
        <f>Simulador!C8</f>
        <v>240</v>
      </c>
    </row>
    <row r="2" spans="1:2" x14ac:dyDescent="0.3">
      <c r="A2" t="s">
        <v>19</v>
      </c>
      <c r="B2" cm="1">
        <f t="array" ref="B2">MATCH(TRUE,Amortizacion!H:H&lt;=0,0)-1</f>
        <v>73</v>
      </c>
    </row>
    <row r="3" spans="1:2" x14ac:dyDescent="0.3">
      <c r="A3" t="s">
        <v>20</v>
      </c>
      <c r="B3">
        <f>B1-B2</f>
        <v>167</v>
      </c>
    </row>
    <row r="5" spans="1:2" x14ac:dyDescent="0.3">
      <c r="A5" s="1" t="s">
        <v>21</v>
      </c>
    </row>
    <row r="6" spans="1:2" x14ac:dyDescent="0.3">
      <c r="A6" t="s">
        <v>22</v>
      </c>
      <c r="B6" t="s">
        <v>23</v>
      </c>
    </row>
    <row r="7" spans="1:2" x14ac:dyDescent="0.3">
      <c r="A7">
        <v>3</v>
      </c>
      <c r="B7">
        <f>PMT(Simulador!C7,3*12,-Simulador!C5)</f>
        <v>6790.4818623366782</v>
      </c>
    </row>
    <row r="8" spans="1:2" x14ac:dyDescent="0.3">
      <c r="A8">
        <v>4</v>
      </c>
      <c r="B8">
        <f>PMT(Simulador!C7,4*12,-Simulador!C5)</f>
        <v>5284.2005939100954</v>
      </c>
    </row>
    <row r="9" spans="1:2" x14ac:dyDescent="0.3">
      <c r="A9">
        <v>6</v>
      </c>
      <c r="B9">
        <f>PMT(Simulador!C7,6*12,-Simulador!C5)</f>
        <v>3786.8566654922047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Simulador</vt:lpstr>
      <vt:lpstr>Amortizacion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Amaranto Gonzalez, Juan Carlos</cp:lastModifiedBy>
  <dcterms:created xsi:type="dcterms:W3CDTF">2026-03-17T21:37:41Z</dcterms:created>
  <dcterms:modified xsi:type="dcterms:W3CDTF">2026-06-30T03:58:33Z</dcterms:modified>
</cp:coreProperties>
</file>