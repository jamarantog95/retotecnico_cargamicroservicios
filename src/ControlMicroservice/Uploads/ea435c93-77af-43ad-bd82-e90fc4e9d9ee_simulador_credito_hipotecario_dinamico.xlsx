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-DEV\Desktop\"/>
    </mc:Choice>
  </mc:AlternateContent>
  <xr:revisionPtr revIDLastSave="0" documentId="13_ncr:1_{AA850B17-D5DA-430A-929F-DDE181AC68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red Personal" sheetId="2" r:id="rId1"/>
    <sheet name="Simulac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6" i="2"/>
  <c r="M3" i="2" s="1"/>
  <c r="C4" i="2"/>
  <c r="C4" i="1"/>
  <c r="C6" i="1"/>
  <c r="M3" i="1" s="1"/>
  <c r="C8" i="1"/>
  <c r="C12" i="2" l="1"/>
  <c r="C13" i="2" s="1"/>
  <c r="I4" i="2"/>
  <c r="C12" i="1"/>
  <c r="C13" i="1" s="1"/>
  <c r="H18" i="1" s="1"/>
  <c r="I4" i="1"/>
  <c r="H31" i="2" l="1"/>
  <c r="H32" i="2"/>
  <c r="H3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4" i="2"/>
  <c r="H30" i="2"/>
  <c r="H33" i="2"/>
  <c r="H4" i="2"/>
  <c r="J4" i="2" s="1"/>
  <c r="M4" i="2" s="1"/>
  <c r="H5" i="2"/>
  <c r="H6" i="2"/>
  <c r="H7" i="2"/>
  <c r="H8" i="2"/>
  <c r="H9" i="2"/>
  <c r="H10" i="2"/>
  <c r="H11" i="2"/>
  <c r="H12" i="2"/>
  <c r="H13" i="2"/>
  <c r="H14" i="2"/>
  <c r="H15" i="2"/>
  <c r="C16" i="2"/>
  <c r="H123" i="1"/>
  <c r="H174" i="1"/>
  <c r="H36" i="1"/>
  <c r="H179" i="1"/>
  <c r="H31" i="1"/>
  <c r="H153" i="1"/>
  <c r="H34" i="1"/>
  <c r="H100" i="1"/>
  <c r="H101" i="1"/>
  <c r="H65" i="1"/>
  <c r="H219" i="1"/>
  <c r="H66" i="1"/>
  <c r="H132" i="1"/>
  <c r="H213" i="1"/>
  <c r="H223" i="1"/>
  <c r="H235" i="1"/>
  <c r="H68" i="1"/>
  <c r="H98" i="1"/>
  <c r="H212" i="1"/>
  <c r="H13" i="1"/>
  <c r="H175" i="1"/>
  <c r="H130" i="1"/>
  <c r="H151" i="1"/>
  <c r="H62" i="1"/>
  <c r="H194" i="1"/>
  <c r="H67" i="1"/>
  <c r="H118" i="1"/>
  <c r="H137" i="1"/>
  <c r="H162" i="1"/>
  <c r="H164" i="1"/>
  <c r="H45" i="1"/>
  <c r="H230" i="1"/>
  <c r="H209" i="1"/>
  <c r="H226" i="1"/>
  <c r="H55" i="1"/>
  <c r="H157" i="1"/>
  <c r="H111" i="1"/>
  <c r="H50" i="1"/>
  <c r="H114" i="1"/>
  <c r="H178" i="1"/>
  <c r="H242" i="1"/>
  <c r="H52" i="1"/>
  <c r="H116" i="1"/>
  <c r="H188" i="1"/>
  <c r="H119" i="1"/>
  <c r="H91" i="1"/>
  <c r="H195" i="1"/>
  <c r="H85" i="1"/>
  <c r="H173" i="1"/>
  <c r="H46" i="1"/>
  <c r="H142" i="1"/>
  <c r="H6" i="1"/>
  <c r="H89" i="1"/>
  <c r="H129" i="1"/>
  <c r="H48" i="1"/>
  <c r="H72" i="1"/>
  <c r="H185" i="1"/>
  <c r="H192" i="1"/>
  <c r="H58" i="1"/>
  <c r="H122" i="1"/>
  <c r="H186" i="1"/>
  <c r="H10" i="1"/>
  <c r="H60" i="1"/>
  <c r="H124" i="1"/>
  <c r="H196" i="1"/>
  <c r="H135" i="1"/>
  <c r="H115" i="1"/>
  <c r="H203" i="1"/>
  <c r="H93" i="1"/>
  <c r="H189" i="1"/>
  <c r="H54" i="1"/>
  <c r="H166" i="1"/>
  <c r="H14" i="1"/>
  <c r="H121" i="1"/>
  <c r="H201" i="1"/>
  <c r="H168" i="1"/>
  <c r="H161" i="1"/>
  <c r="H208" i="1"/>
  <c r="H15" i="1"/>
  <c r="H96" i="1"/>
  <c r="H232" i="1"/>
  <c r="H184" i="1"/>
  <c r="H24" i="1"/>
  <c r="H138" i="1"/>
  <c r="H11" i="1"/>
  <c r="H140" i="1"/>
  <c r="H27" i="1"/>
  <c r="H21" i="1"/>
  <c r="H221" i="1"/>
  <c r="H78" i="1"/>
  <c r="H63" i="1"/>
  <c r="H128" i="1"/>
  <c r="H113" i="1"/>
  <c r="H207" i="1"/>
  <c r="H88" i="1"/>
  <c r="H82" i="1"/>
  <c r="H146" i="1"/>
  <c r="H210" i="1"/>
  <c r="H20" i="1"/>
  <c r="H84" i="1"/>
  <c r="H148" i="1"/>
  <c r="H228" i="1"/>
  <c r="H51" i="1"/>
  <c r="H139" i="1"/>
  <c r="H29" i="1"/>
  <c r="H125" i="1"/>
  <c r="H229" i="1"/>
  <c r="H102" i="1"/>
  <c r="H190" i="1"/>
  <c r="H79" i="1"/>
  <c r="H217" i="1"/>
  <c r="H159" i="1"/>
  <c r="H233" i="1"/>
  <c r="H225" i="1"/>
  <c r="H144" i="1"/>
  <c r="H152" i="1"/>
  <c r="H8" i="1"/>
  <c r="H74" i="1"/>
  <c r="H202" i="1"/>
  <c r="H76" i="1"/>
  <c r="H220" i="1"/>
  <c r="H131" i="1"/>
  <c r="H109" i="1"/>
  <c r="H182" i="1"/>
  <c r="H176" i="1"/>
  <c r="H112" i="1"/>
  <c r="H26" i="1"/>
  <c r="H90" i="1"/>
  <c r="H154" i="1"/>
  <c r="H218" i="1"/>
  <c r="H28" i="1"/>
  <c r="H92" i="1"/>
  <c r="H156" i="1"/>
  <c r="H236" i="1"/>
  <c r="H59" i="1"/>
  <c r="H155" i="1"/>
  <c r="H37" i="1"/>
  <c r="H149" i="1"/>
  <c r="H237" i="1"/>
  <c r="H110" i="1"/>
  <c r="H206" i="1"/>
  <c r="H95" i="1"/>
  <c r="H33" i="1"/>
  <c r="H177" i="1"/>
  <c r="H56" i="1"/>
  <c r="H41" i="1"/>
  <c r="H191" i="1"/>
  <c r="H4" i="1"/>
  <c r="J4" i="1" s="1"/>
  <c r="M4" i="1" s="1"/>
  <c r="I5" i="1" s="1"/>
  <c r="H42" i="1"/>
  <c r="H106" i="1"/>
  <c r="H170" i="1"/>
  <c r="H234" i="1"/>
  <c r="H44" i="1"/>
  <c r="H108" i="1"/>
  <c r="H172" i="1"/>
  <c r="H103" i="1"/>
  <c r="H75" i="1"/>
  <c r="H187" i="1"/>
  <c r="H61" i="1"/>
  <c r="H165" i="1"/>
  <c r="H38" i="1"/>
  <c r="H126" i="1"/>
  <c r="H238" i="1"/>
  <c r="H143" i="1"/>
  <c r="H97" i="1"/>
  <c r="H224" i="1"/>
  <c r="H216" i="1"/>
  <c r="H167" i="1"/>
  <c r="H17" i="1"/>
  <c r="H180" i="1"/>
  <c r="H12" i="1"/>
  <c r="H19" i="1"/>
  <c r="H83" i="1"/>
  <c r="H147" i="1"/>
  <c r="H211" i="1"/>
  <c r="H53" i="1"/>
  <c r="H117" i="1"/>
  <c r="H181" i="1"/>
  <c r="H5" i="1"/>
  <c r="H70" i="1"/>
  <c r="H134" i="1"/>
  <c r="H198" i="1"/>
  <c r="H23" i="1"/>
  <c r="H127" i="1"/>
  <c r="H199" i="1"/>
  <c r="H183" i="1"/>
  <c r="H200" i="1"/>
  <c r="H49" i="1"/>
  <c r="H40" i="1"/>
  <c r="H7" i="1"/>
  <c r="H231" i="1"/>
  <c r="H9" i="1"/>
  <c r="H120" i="1"/>
  <c r="H71" i="1"/>
  <c r="H35" i="1"/>
  <c r="H99" i="1"/>
  <c r="H163" i="1"/>
  <c r="H227" i="1"/>
  <c r="H69" i="1"/>
  <c r="H133" i="1"/>
  <c r="H197" i="1"/>
  <c r="H22" i="1"/>
  <c r="H86" i="1"/>
  <c r="H150" i="1"/>
  <c r="H214" i="1"/>
  <c r="H39" i="1"/>
  <c r="H25" i="1"/>
  <c r="H240" i="1"/>
  <c r="H32" i="1"/>
  <c r="H241" i="1"/>
  <c r="H169" i="1"/>
  <c r="H104" i="1"/>
  <c r="H73" i="1"/>
  <c r="H16" i="1"/>
  <c r="H81" i="1"/>
  <c r="H193" i="1"/>
  <c r="H204" i="1"/>
  <c r="H87" i="1"/>
  <c r="H43" i="1"/>
  <c r="H107" i="1"/>
  <c r="H171" i="1"/>
  <c r="H243" i="1"/>
  <c r="H77" i="1"/>
  <c r="H141" i="1"/>
  <c r="H205" i="1"/>
  <c r="H30" i="1"/>
  <c r="H94" i="1"/>
  <c r="H158" i="1"/>
  <c r="H222" i="1"/>
  <c r="H47" i="1"/>
  <c r="H57" i="1"/>
  <c r="C16" i="1"/>
  <c r="H64" i="1"/>
  <c r="H160" i="1"/>
  <c r="H215" i="1"/>
  <c r="H136" i="1"/>
  <c r="H105" i="1"/>
  <c r="H80" i="1"/>
  <c r="H145" i="1"/>
  <c r="H239" i="1"/>
  <c r="I5" i="2" l="1"/>
  <c r="J5" i="2" s="1"/>
  <c r="M5" i="2" s="1"/>
  <c r="J5" i="1"/>
  <c r="M5" i="1" s="1"/>
  <c r="I6" i="1" s="1"/>
  <c r="J6" i="1" s="1"/>
  <c r="M6" i="1" s="1"/>
  <c r="I6" i="2" l="1"/>
  <c r="J6" i="2" s="1"/>
  <c r="M6" i="2" s="1"/>
  <c r="I7" i="1"/>
  <c r="J7" i="1" s="1"/>
  <c r="M7" i="1" s="1"/>
  <c r="I7" i="2" l="1"/>
  <c r="J7" i="2" s="1"/>
  <c r="M7" i="2" s="1"/>
  <c r="I8" i="1"/>
  <c r="J8" i="1" s="1"/>
  <c r="M8" i="1" s="1"/>
  <c r="I8" i="2" l="1"/>
  <c r="J8" i="2" s="1"/>
  <c r="M8" i="2" s="1"/>
  <c r="I9" i="1"/>
  <c r="J9" i="1" s="1"/>
  <c r="M9" i="1" s="1"/>
  <c r="I9" i="2" l="1"/>
  <c r="J9" i="2" s="1"/>
  <c r="M9" i="2" s="1"/>
  <c r="I10" i="1"/>
  <c r="J10" i="1" s="1"/>
  <c r="M10" i="1" s="1"/>
  <c r="I10" i="2" l="1"/>
  <c r="J10" i="2" s="1"/>
  <c r="M10" i="2" s="1"/>
  <c r="I11" i="1"/>
  <c r="J11" i="1" s="1"/>
  <c r="M11" i="1" s="1"/>
  <c r="I11" i="2" l="1"/>
  <c r="J11" i="2" s="1"/>
  <c r="M11" i="2" s="1"/>
  <c r="I12" i="1"/>
  <c r="J12" i="1" s="1"/>
  <c r="M12" i="1" s="1"/>
  <c r="I12" i="2" l="1"/>
  <c r="J12" i="2" s="1"/>
  <c r="M12" i="2" s="1"/>
  <c r="I13" i="1"/>
  <c r="J13" i="1" s="1"/>
  <c r="M13" i="1" s="1"/>
  <c r="I13" i="2" l="1"/>
  <c r="J13" i="2" s="1"/>
  <c r="M13" i="2" s="1"/>
  <c r="I14" i="1"/>
  <c r="J14" i="1" s="1"/>
  <c r="M14" i="1" s="1"/>
  <c r="I14" i="2" l="1"/>
  <c r="J14" i="2" s="1"/>
  <c r="M14" i="2" s="1"/>
  <c r="I15" i="1"/>
  <c r="J15" i="1" s="1"/>
  <c r="M15" i="1" s="1"/>
  <c r="I15" i="2" l="1"/>
  <c r="J15" i="2" s="1"/>
  <c r="M15" i="2" s="1"/>
  <c r="I16" i="1"/>
  <c r="J16" i="1" s="1"/>
  <c r="M16" i="1" s="1"/>
  <c r="I16" i="2" l="1"/>
  <c r="J16" i="2" s="1"/>
  <c r="M16" i="2" s="1"/>
  <c r="I17" i="1"/>
  <c r="J17" i="1" s="1"/>
  <c r="M17" i="1" s="1"/>
  <c r="I17" i="2" l="1"/>
  <c r="J17" i="2" s="1"/>
  <c r="M17" i="2" s="1"/>
  <c r="I18" i="1"/>
  <c r="J18" i="1" s="1"/>
  <c r="M18" i="1" s="1"/>
  <c r="I18" i="2" l="1"/>
  <c r="J18" i="2" s="1"/>
  <c r="M18" i="2" s="1"/>
  <c r="I19" i="1"/>
  <c r="J19" i="1" s="1"/>
  <c r="M19" i="1" s="1"/>
  <c r="I20" i="1" s="1"/>
  <c r="I19" i="2" l="1"/>
  <c r="J19" i="2" s="1"/>
  <c r="M19" i="2" s="1"/>
  <c r="J20" i="1"/>
  <c r="M20" i="1" s="1"/>
  <c r="I20" i="2" l="1"/>
  <c r="J20" i="2" s="1"/>
  <c r="M20" i="2" s="1"/>
  <c r="I21" i="1"/>
  <c r="J21" i="1" s="1"/>
  <c r="M21" i="1" s="1"/>
  <c r="I21" i="2" l="1"/>
  <c r="J21" i="2" s="1"/>
  <c r="M21" i="2" s="1"/>
  <c r="I22" i="1"/>
  <c r="J22" i="1" s="1"/>
  <c r="M22" i="1" s="1"/>
  <c r="I22" i="2" l="1"/>
  <c r="J22" i="2" s="1"/>
  <c r="M22" i="2" s="1"/>
  <c r="I23" i="1"/>
  <c r="J23" i="1" s="1"/>
  <c r="M23" i="1" s="1"/>
  <c r="I23" i="2" l="1"/>
  <c r="J23" i="2" s="1"/>
  <c r="M23" i="2" s="1"/>
  <c r="I24" i="1"/>
  <c r="J24" i="1" s="1"/>
  <c r="M24" i="1" s="1"/>
  <c r="I24" i="2" l="1"/>
  <c r="J24" i="2" s="1"/>
  <c r="M24" i="2" s="1"/>
  <c r="I25" i="1"/>
  <c r="J25" i="1" s="1"/>
  <c r="M25" i="1" s="1"/>
  <c r="I25" i="2" l="1"/>
  <c r="J25" i="2" s="1"/>
  <c r="M25" i="2" s="1"/>
  <c r="I26" i="1"/>
  <c r="J26" i="1" s="1"/>
  <c r="M26" i="1" s="1"/>
  <c r="I26" i="2" l="1"/>
  <c r="J26" i="2" s="1"/>
  <c r="M26" i="2" s="1"/>
  <c r="I27" i="1"/>
  <c r="J27" i="1" s="1"/>
  <c r="M27" i="1" s="1"/>
  <c r="I27" i="2" l="1"/>
  <c r="J27" i="2" s="1"/>
  <c r="M27" i="2" s="1"/>
  <c r="I28" i="1"/>
  <c r="J28" i="1" s="1"/>
  <c r="M28" i="1" s="1"/>
  <c r="I28" i="2" l="1"/>
  <c r="J28" i="2" s="1"/>
  <c r="M28" i="2" s="1"/>
  <c r="I29" i="1"/>
  <c r="J29" i="1" s="1"/>
  <c r="M29" i="1" s="1"/>
  <c r="I29" i="2" l="1"/>
  <c r="J29" i="2" s="1"/>
  <c r="M29" i="2" s="1"/>
  <c r="I30" i="1"/>
  <c r="J30" i="1" s="1"/>
  <c r="M30" i="1" s="1"/>
  <c r="I30" i="2" l="1"/>
  <c r="J30" i="2" s="1"/>
  <c r="M30" i="2" s="1"/>
  <c r="I31" i="1"/>
  <c r="J31" i="1" s="1"/>
  <c r="M31" i="1" s="1"/>
  <c r="I31" i="2" l="1"/>
  <c r="J31" i="2" s="1"/>
  <c r="M31" i="2" s="1"/>
  <c r="I32" i="1"/>
  <c r="J32" i="1" s="1"/>
  <c r="M32" i="1" s="1"/>
  <c r="I32" i="2" l="1"/>
  <c r="J32" i="2" s="1"/>
  <c r="M32" i="2" s="1"/>
  <c r="I33" i="1"/>
  <c r="J33" i="1" s="1"/>
  <c r="M33" i="1" s="1"/>
  <c r="I33" i="2" l="1"/>
  <c r="J33" i="2" s="1"/>
  <c r="M33" i="2" s="1"/>
  <c r="I34" i="1"/>
  <c r="J34" i="1" s="1"/>
  <c r="M34" i="1" s="1"/>
  <c r="I34" i="2" l="1"/>
  <c r="J34" i="2" s="1"/>
  <c r="M34" i="2" s="1"/>
  <c r="I35" i="1"/>
  <c r="J35" i="1" s="1"/>
  <c r="M35" i="1" s="1"/>
  <c r="I35" i="2" l="1"/>
  <c r="J35" i="2" s="1"/>
  <c r="M35" i="2" s="1"/>
  <c r="I36" i="1"/>
  <c r="J36" i="1" s="1"/>
  <c r="M36" i="1" s="1"/>
  <c r="I37" i="1" l="1"/>
  <c r="J37" i="1" s="1"/>
  <c r="M37" i="1" s="1"/>
  <c r="I38" i="1" l="1"/>
  <c r="J38" i="1" s="1"/>
  <c r="M38" i="1" s="1"/>
  <c r="I39" i="1" s="1"/>
  <c r="J39" i="1" l="1"/>
  <c r="M39" i="1" s="1"/>
  <c r="I40" i="1" l="1"/>
  <c r="J40" i="1" s="1"/>
  <c r="M40" i="1" s="1"/>
  <c r="I41" i="1" l="1"/>
  <c r="J41" i="1" s="1"/>
  <c r="M41" i="1" s="1"/>
  <c r="I42" i="1" l="1"/>
  <c r="J42" i="1" s="1"/>
  <c r="M42" i="1" s="1"/>
  <c r="I43" i="1" l="1"/>
  <c r="J43" i="1" s="1"/>
  <c r="M43" i="1" s="1"/>
  <c r="I44" i="1" l="1"/>
  <c r="J44" i="1" s="1"/>
  <c r="M44" i="1" s="1"/>
  <c r="I45" i="1" l="1"/>
  <c r="J45" i="1" s="1"/>
  <c r="M45" i="1" s="1"/>
  <c r="I46" i="1" l="1"/>
  <c r="J46" i="1" s="1"/>
  <c r="M46" i="1" s="1"/>
  <c r="I47" i="1" l="1"/>
  <c r="J47" i="1" s="1"/>
  <c r="M47" i="1" s="1"/>
  <c r="I48" i="1" l="1"/>
  <c r="J48" i="1" s="1"/>
  <c r="M48" i="1" s="1"/>
  <c r="I49" i="1" l="1"/>
  <c r="J49" i="1" s="1"/>
  <c r="M49" i="1" s="1"/>
  <c r="I50" i="1" l="1"/>
  <c r="J50" i="1" s="1"/>
  <c r="M50" i="1" s="1"/>
  <c r="I51" i="1" l="1"/>
  <c r="J51" i="1" s="1"/>
  <c r="M51" i="1" s="1"/>
  <c r="I52" i="1" l="1"/>
  <c r="J52" i="1" s="1"/>
  <c r="M52" i="1" s="1"/>
  <c r="I53" i="1" l="1"/>
  <c r="J53" i="1" s="1"/>
  <c r="M53" i="1" s="1"/>
  <c r="I54" i="1" l="1"/>
  <c r="J54" i="1" s="1"/>
  <c r="M54" i="1" s="1"/>
  <c r="I55" i="1" l="1"/>
  <c r="J55" i="1" s="1"/>
  <c r="M55" i="1" s="1"/>
  <c r="I56" i="1" l="1"/>
  <c r="J56" i="1" s="1"/>
  <c r="M56" i="1" s="1"/>
  <c r="I57" i="1" l="1"/>
  <c r="J57" i="1" s="1"/>
  <c r="M57" i="1" s="1"/>
  <c r="I58" i="1" l="1"/>
  <c r="J58" i="1" s="1"/>
  <c r="M58" i="1" s="1"/>
  <c r="I59" i="1" l="1"/>
  <c r="J59" i="1" s="1"/>
  <c r="M59" i="1" s="1"/>
  <c r="I60" i="1" l="1"/>
  <c r="J60" i="1" s="1"/>
  <c r="M60" i="1" s="1"/>
  <c r="I61" i="1" l="1"/>
  <c r="J61" i="1" s="1"/>
  <c r="M61" i="1" s="1"/>
  <c r="I62" i="1" l="1"/>
  <c r="J62" i="1" s="1"/>
  <c r="M62" i="1" s="1"/>
  <c r="I63" i="1" l="1"/>
  <c r="J63" i="1" s="1"/>
  <c r="M63" i="1" s="1"/>
  <c r="I64" i="1" l="1"/>
  <c r="J64" i="1" s="1"/>
  <c r="M64" i="1" s="1"/>
  <c r="I65" i="1" l="1"/>
  <c r="J65" i="1" s="1"/>
  <c r="M65" i="1" s="1"/>
  <c r="I66" i="1" l="1"/>
  <c r="J66" i="1" s="1"/>
  <c r="M66" i="1" s="1"/>
  <c r="I67" i="1" l="1"/>
  <c r="J67" i="1" s="1"/>
  <c r="M67" i="1" s="1"/>
  <c r="I68" i="1" l="1"/>
  <c r="J68" i="1" s="1"/>
  <c r="M68" i="1" s="1"/>
  <c r="I69" i="1" l="1"/>
  <c r="J69" i="1" s="1"/>
  <c r="M69" i="1" s="1"/>
  <c r="I70" i="1" l="1"/>
  <c r="J70" i="1" s="1"/>
  <c r="M70" i="1" s="1"/>
  <c r="I71" i="1" l="1"/>
  <c r="J71" i="1" s="1"/>
  <c r="M71" i="1" s="1"/>
  <c r="I72" i="1" l="1"/>
  <c r="J72" i="1" s="1"/>
  <c r="M72" i="1" s="1"/>
  <c r="I73" i="1" l="1"/>
  <c r="J73" i="1" s="1"/>
  <c r="M73" i="1" s="1"/>
  <c r="I74" i="1" l="1"/>
  <c r="J74" i="1" s="1"/>
  <c r="M74" i="1" s="1"/>
  <c r="I75" i="1" l="1"/>
  <c r="J75" i="1" s="1"/>
  <c r="M75" i="1" s="1"/>
  <c r="I76" i="1" l="1"/>
  <c r="J76" i="1" s="1"/>
  <c r="M76" i="1" s="1"/>
  <c r="I77" i="1" l="1"/>
  <c r="J77" i="1" s="1"/>
  <c r="M77" i="1" s="1"/>
  <c r="I78" i="1" l="1"/>
  <c r="J78" i="1" s="1"/>
  <c r="M78" i="1" s="1"/>
  <c r="I79" i="1" l="1"/>
  <c r="J79" i="1" s="1"/>
  <c r="M79" i="1" s="1"/>
  <c r="I80" i="1" l="1"/>
  <c r="J80" i="1" s="1"/>
  <c r="M80" i="1" s="1"/>
  <c r="I81" i="1" l="1"/>
  <c r="J81" i="1" s="1"/>
  <c r="M81" i="1" s="1"/>
  <c r="I82" i="1" l="1"/>
  <c r="J82" i="1" s="1"/>
  <c r="M82" i="1" s="1"/>
  <c r="I83" i="1" l="1"/>
  <c r="J83" i="1" s="1"/>
  <c r="M83" i="1" s="1"/>
  <c r="I84" i="1" l="1"/>
  <c r="J84" i="1" s="1"/>
  <c r="M84" i="1" s="1"/>
  <c r="I85" i="1" l="1"/>
  <c r="J85" i="1" s="1"/>
  <c r="M85" i="1" s="1"/>
  <c r="I86" i="1" l="1"/>
  <c r="J86" i="1" s="1"/>
  <c r="M86" i="1" s="1"/>
  <c r="I87" i="1" l="1"/>
  <c r="J87" i="1" s="1"/>
  <c r="M87" i="1" s="1"/>
  <c r="I88" i="1" l="1"/>
  <c r="J88" i="1" s="1"/>
  <c r="M88" i="1" s="1"/>
  <c r="I89" i="1" l="1"/>
  <c r="J89" i="1" s="1"/>
  <c r="M89" i="1" s="1"/>
  <c r="I90" i="1" l="1"/>
  <c r="J90" i="1" s="1"/>
  <c r="M90" i="1" s="1"/>
  <c r="I91" i="1" l="1"/>
  <c r="J91" i="1" s="1"/>
  <c r="M91" i="1" s="1"/>
  <c r="I92" i="1" l="1"/>
  <c r="J92" i="1" s="1"/>
  <c r="M92" i="1" s="1"/>
  <c r="I93" i="1" l="1"/>
  <c r="J93" i="1" s="1"/>
  <c r="M93" i="1" s="1"/>
  <c r="I94" i="1" l="1"/>
  <c r="J94" i="1" s="1"/>
  <c r="M94" i="1" s="1"/>
  <c r="I95" i="1" l="1"/>
  <c r="J95" i="1" s="1"/>
  <c r="M95" i="1" s="1"/>
  <c r="I96" i="1" l="1"/>
  <c r="J96" i="1" s="1"/>
  <c r="M96" i="1" s="1"/>
  <c r="I97" i="1" l="1"/>
  <c r="J97" i="1" s="1"/>
  <c r="M97" i="1" s="1"/>
  <c r="I98" i="1" l="1"/>
  <c r="J98" i="1" s="1"/>
  <c r="M98" i="1" s="1"/>
  <c r="I99" i="1" l="1"/>
  <c r="J99" i="1" s="1"/>
  <c r="M99" i="1" s="1"/>
  <c r="I100" i="1" l="1"/>
  <c r="J100" i="1" s="1"/>
  <c r="M100" i="1" s="1"/>
  <c r="I101" i="1" l="1"/>
  <c r="J101" i="1" s="1"/>
  <c r="M101" i="1" s="1"/>
  <c r="I102" i="1" l="1"/>
  <c r="J102" i="1" s="1"/>
  <c r="M102" i="1" s="1"/>
  <c r="I103" i="1" l="1"/>
  <c r="J103" i="1" s="1"/>
  <c r="M103" i="1" s="1"/>
  <c r="I104" i="1" l="1"/>
  <c r="J104" i="1" s="1"/>
  <c r="M104" i="1" s="1"/>
  <c r="I105" i="1" l="1"/>
  <c r="J105" i="1" s="1"/>
  <c r="M105" i="1" s="1"/>
  <c r="I106" i="1" l="1"/>
  <c r="J106" i="1" s="1"/>
  <c r="M106" i="1" s="1"/>
  <c r="I107" i="1" l="1"/>
  <c r="J107" i="1" s="1"/>
  <c r="M107" i="1" s="1"/>
  <c r="I108" i="1" l="1"/>
  <c r="J108" i="1" s="1"/>
  <c r="M108" i="1" s="1"/>
  <c r="I109" i="1" l="1"/>
  <c r="J109" i="1" s="1"/>
  <c r="M109" i="1" s="1"/>
  <c r="I110" i="1" l="1"/>
  <c r="J110" i="1" s="1"/>
  <c r="M110" i="1" s="1"/>
  <c r="I111" i="1" l="1"/>
  <c r="J111" i="1" s="1"/>
  <c r="M111" i="1" s="1"/>
  <c r="I112" i="1" l="1"/>
  <c r="J112" i="1" s="1"/>
  <c r="M112" i="1" s="1"/>
  <c r="I113" i="1" l="1"/>
  <c r="J113" i="1" s="1"/>
  <c r="M113" i="1" s="1"/>
  <c r="I114" i="1" l="1"/>
  <c r="J114" i="1" s="1"/>
  <c r="M114" i="1" s="1"/>
  <c r="I115" i="1" l="1"/>
  <c r="J115" i="1" s="1"/>
  <c r="M115" i="1" s="1"/>
  <c r="I116" i="1" l="1"/>
  <c r="J116" i="1" s="1"/>
  <c r="M116" i="1" s="1"/>
  <c r="I117" i="1" l="1"/>
  <c r="J117" i="1" s="1"/>
  <c r="M117" i="1" s="1"/>
  <c r="I118" i="1" l="1"/>
  <c r="J118" i="1" s="1"/>
  <c r="M118" i="1" s="1"/>
  <c r="I119" i="1" l="1"/>
  <c r="J119" i="1" s="1"/>
  <c r="M119" i="1" s="1"/>
  <c r="I120" i="1" l="1"/>
  <c r="J120" i="1" s="1"/>
  <c r="M120" i="1" s="1"/>
  <c r="I121" i="1" l="1"/>
  <c r="J121" i="1" s="1"/>
  <c r="M121" i="1" s="1"/>
  <c r="I122" i="1" l="1"/>
  <c r="J122" i="1" s="1"/>
  <c r="M122" i="1" s="1"/>
  <c r="I123" i="1" l="1"/>
  <c r="J123" i="1" s="1"/>
  <c r="M123" i="1" s="1"/>
  <c r="I124" i="1" l="1"/>
  <c r="J124" i="1" s="1"/>
  <c r="M124" i="1" s="1"/>
  <c r="I125" i="1" l="1"/>
  <c r="J125" i="1" s="1"/>
  <c r="M125" i="1" s="1"/>
  <c r="I126" i="1" l="1"/>
  <c r="J126" i="1" s="1"/>
  <c r="M126" i="1" s="1"/>
  <c r="I127" i="1" l="1"/>
  <c r="J127" i="1" s="1"/>
  <c r="M127" i="1" s="1"/>
  <c r="I128" i="1" l="1"/>
  <c r="J128" i="1" s="1"/>
  <c r="M128" i="1" s="1"/>
  <c r="I129" i="1" l="1"/>
  <c r="J129" i="1" s="1"/>
  <c r="M129" i="1" s="1"/>
  <c r="I130" i="1" l="1"/>
  <c r="J130" i="1" s="1"/>
  <c r="M130" i="1" s="1"/>
  <c r="I131" i="1" l="1"/>
  <c r="J131" i="1" s="1"/>
  <c r="M131" i="1" s="1"/>
  <c r="I132" i="1" l="1"/>
  <c r="J132" i="1" s="1"/>
  <c r="M132" i="1" s="1"/>
  <c r="I133" i="1" l="1"/>
  <c r="J133" i="1" s="1"/>
  <c r="M133" i="1" s="1"/>
  <c r="I134" i="1" l="1"/>
  <c r="J134" i="1" s="1"/>
  <c r="M134" i="1" s="1"/>
  <c r="I135" i="1" l="1"/>
  <c r="J135" i="1" s="1"/>
  <c r="M135" i="1" s="1"/>
  <c r="I136" i="1" l="1"/>
  <c r="J136" i="1" s="1"/>
  <c r="M136" i="1" s="1"/>
  <c r="I137" i="1" l="1"/>
  <c r="J137" i="1" s="1"/>
  <c r="M137" i="1" s="1"/>
  <c r="I138" i="1" l="1"/>
  <c r="J138" i="1" s="1"/>
  <c r="M138" i="1" s="1"/>
  <c r="I139" i="1" l="1"/>
  <c r="J139" i="1" s="1"/>
  <c r="M139" i="1" s="1"/>
  <c r="I140" i="1" l="1"/>
  <c r="J140" i="1" s="1"/>
  <c r="M140" i="1" s="1"/>
  <c r="I141" i="1" l="1"/>
  <c r="J141" i="1" s="1"/>
  <c r="M141" i="1" s="1"/>
  <c r="I142" i="1" l="1"/>
  <c r="J142" i="1" s="1"/>
  <c r="M142" i="1" s="1"/>
  <c r="I143" i="1" l="1"/>
  <c r="J143" i="1" s="1"/>
  <c r="M143" i="1" s="1"/>
  <c r="I144" i="1" l="1"/>
  <c r="J144" i="1" s="1"/>
  <c r="M144" i="1" s="1"/>
  <c r="I145" i="1" l="1"/>
  <c r="J145" i="1" s="1"/>
  <c r="M145" i="1" s="1"/>
  <c r="I146" i="1" l="1"/>
  <c r="J146" i="1" s="1"/>
  <c r="M146" i="1" s="1"/>
  <c r="I147" i="1" l="1"/>
  <c r="J147" i="1" s="1"/>
  <c r="M147" i="1" s="1"/>
  <c r="I148" i="1" l="1"/>
  <c r="J148" i="1" s="1"/>
  <c r="M148" i="1" s="1"/>
  <c r="I149" i="1" l="1"/>
  <c r="J149" i="1" s="1"/>
  <c r="M149" i="1" s="1"/>
  <c r="I150" i="1" l="1"/>
  <c r="J150" i="1" s="1"/>
  <c r="M150" i="1" s="1"/>
  <c r="I151" i="1" l="1"/>
  <c r="J151" i="1" s="1"/>
  <c r="M151" i="1" s="1"/>
  <c r="I152" i="1" l="1"/>
  <c r="J152" i="1" s="1"/>
  <c r="M152" i="1" s="1"/>
  <c r="I153" i="1" l="1"/>
  <c r="J153" i="1" s="1"/>
  <c r="M153" i="1" s="1"/>
  <c r="I154" i="1" l="1"/>
  <c r="J154" i="1" s="1"/>
  <c r="M154" i="1" s="1"/>
  <c r="I155" i="1" l="1"/>
  <c r="J155" i="1" s="1"/>
  <c r="M155" i="1" s="1"/>
  <c r="I156" i="1" l="1"/>
  <c r="J156" i="1" s="1"/>
  <c r="M156" i="1" s="1"/>
  <c r="I157" i="1" l="1"/>
  <c r="J157" i="1" s="1"/>
  <c r="M157" i="1" s="1"/>
  <c r="I158" i="1" l="1"/>
  <c r="J158" i="1" s="1"/>
  <c r="M158" i="1" s="1"/>
  <c r="I159" i="1" l="1"/>
  <c r="J159" i="1" s="1"/>
  <c r="M159" i="1" s="1"/>
  <c r="I160" i="1" l="1"/>
  <c r="J160" i="1" s="1"/>
  <c r="M160" i="1" s="1"/>
  <c r="I161" i="1" l="1"/>
  <c r="J161" i="1" s="1"/>
  <c r="M161" i="1" s="1"/>
  <c r="I162" i="1" l="1"/>
  <c r="J162" i="1" s="1"/>
  <c r="M162" i="1" s="1"/>
  <c r="I163" i="1" l="1"/>
  <c r="J163" i="1" s="1"/>
  <c r="M163" i="1" s="1"/>
  <c r="I164" i="1" l="1"/>
  <c r="J164" i="1" s="1"/>
  <c r="M164" i="1" s="1"/>
  <c r="I165" i="1" l="1"/>
  <c r="J165" i="1" s="1"/>
  <c r="M165" i="1" s="1"/>
  <c r="I166" i="1" l="1"/>
  <c r="J166" i="1" s="1"/>
  <c r="M166" i="1" s="1"/>
  <c r="I167" i="1" l="1"/>
  <c r="J167" i="1" s="1"/>
  <c r="M167" i="1" s="1"/>
  <c r="I168" i="1" l="1"/>
  <c r="J168" i="1" s="1"/>
  <c r="M168" i="1" s="1"/>
  <c r="I169" i="1" l="1"/>
  <c r="J169" i="1" s="1"/>
  <c r="M169" i="1" s="1"/>
  <c r="I170" i="1" l="1"/>
  <c r="J170" i="1" s="1"/>
  <c r="M170" i="1" s="1"/>
  <c r="I171" i="1" l="1"/>
  <c r="J171" i="1" s="1"/>
  <c r="M171" i="1" s="1"/>
  <c r="I172" i="1" l="1"/>
  <c r="J172" i="1" s="1"/>
  <c r="M172" i="1" s="1"/>
  <c r="I173" i="1" l="1"/>
  <c r="J173" i="1" s="1"/>
  <c r="M173" i="1" s="1"/>
  <c r="I174" i="1" l="1"/>
  <c r="J174" i="1" s="1"/>
  <c r="M174" i="1" s="1"/>
  <c r="I175" i="1" l="1"/>
  <c r="J175" i="1" s="1"/>
  <c r="M175" i="1" s="1"/>
  <c r="I176" i="1" l="1"/>
  <c r="J176" i="1" s="1"/>
  <c r="M176" i="1" s="1"/>
  <c r="I177" i="1" l="1"/>
  <c r="J177" i="1" s="1"/>
  <c r="M177" i="1" s="1"/>
  <c r="I178" i="1" l="1"/>
  <c r="J178" i="1" s="1"/>
  <c r="M178" i="1" s="1"/>
  <c r="I179" i="1" l="1"/>
  <c r="J179" i="1" s="1"/>
  <c r="M179" i="1" s="1"/>
  <c r="I180" i="1" l="1"/>
  <c r="J180" i="1" s="1"/>
  <c r="M180" i="1" s="1"/>
  <c r="I181" i="1" l="1"/>
  <c r="J181" i="1" s="1"/>
  <c r="M181" i="1" s="1"/>
  <c r="I182" i="1" l="1"/>
  <c r="J182" i="1" s="1"/>
  <c r="M182" i="1" s="1"/>
  <c r="I183" i="1" l="1"/>
  <c r="J183" i="1" s="1"/>
  <c r="M183" i="1" s="1"/>
  <c r="I184" i="1" l="1"/>
  <c r="J184" i="1" s="1"/>
  <c r="M184" i="1" s="1"/>
  <c r="I185" i="1" l="1"/>
  <c r="J185" i="1" s="1"/>
  <c r="M185" i="1" s="1"/>
  <c r="I186" i="1" l="1"/>
  <c r="J186" i="1" s="1"/>
  <c r="M186" i="1" s="1"/>
  <c r="I187" i="1" l="1"/>
  <c r="J187" i="1" s="1"/>
  <c r="M187" i="1" s="1"/>
  <c r="I188" i="1" l="1"/>
  <c r="J188" i="1" s="1"/>
  <c r="M188" i="1" s="1"/>
  <c r="I189" i="1" l="1"/>
  <c r="J189" i="1" s="1"/>
  <c r="M189" i="1" s="1"/>
  <c r="I190" i="1" l="1"/>
  <c r="J190" i="1" s="1"/>
  <c r="M190" i="1" s="1"/>
  <c r="I191" i="1" l="1"/>
  <c r="J191" i="1" s="1"/>
  <c r="M191" i="1" s="1"/>
  <c r="I192" i="1" l="1"/>
  <c r="J192" i="1" s="1"/>
  <c r="M192" i="1" s="1"/>
  <c r="I193" i="1" l="1"/>
  <c r="J193" i="1" s="1"/>
  <c r="M193" i="1" s="1"/>
  <c r="I194" i="1" l="1"/>
  <c r="J194" i="1" s="1"/>
  <c r="M194" i="1" s="1"/>
  <c r="I195" i="1" l="1"/>
  <c r="J195" i="1" s="1"/>
  <c r="M195" i="1" s="1"/>
  <c r="I196" i="1" l="1"/>
  <c r="J196" i="1" s="1"/>
  <c r="M196" i="1" s="1"/>
  <c r="I197" i="1" l="1"/>
  <c r="J197" i="1" s="1"/>
  <c r="M197" i="1" s="1"/>
  <c r="I198" i="1" l="1"/>
  <c r="J198" i="1" s="1"/>
  <c r="M198" i="1" s="1"/>
  <c r="I199" i="1" l="1"/>
  <c r="J199" i="1" s="1"/>
  <c r="M199" i="1" s="1"/>
  <c r="I200" i="1" l="1"/>
  <c r="J200" i="1" s="1"/>
  <c r="M200" i="1" s="1"/>
  <c r="I201" i="1" l="1"/>
  <c r="J201" i="1" s="1"/>
  <c r="M201" i="1" s="1"/>
  <c r="I202" i="1" l="1"/>
  <c r="J202" i="1" s="1"/>
  <c r="M202" i="1" s="1"/>
  <c r="I203" i="1" l="1"/>
  <c r="J203" i="1" s="1"/>
  <c r="M203" i="1" s="1"/>
  <c r="I204" i="1" l="1"/>
  <c r="J204" i="1" s="1"/>
  <c r="M204" i="1" s="1"/>
  <c r="I205" i="1" l="1"/>
  <c r="J205" i="1" s="1"/>
  <c r="M205" i="1" s="1"/>
  <c r="I206" i="1" l="1"/>
  <c r="J206" i="1" s="1"/>
  <c r="M206" i="1" s="1"/>
  <c r="I207" i="1" l="1"/>
  <c r="J207" i="1" s="1"/>
  <c r="M207" i="1" s="1"/>
  <c r="I208" i="1" l="1"/>
  <c r="J208" i="1" s="1"/>
  <c r="M208" i="1" s="1"/>
  <c r="I209" i="1" l="1"/>
  <c r="J209" i="1" s="1"/>
  <c r="M209" i="1" s="1"/>
  <c r="I210" i="1" l="1"/>
  <c r="J210" i="1" s="1"/>
  <c r="M210" i="1" s="1"/>
  <c r="I211" i="1" l="1"/>
  <c r="J211" i="1" s="1"/>
  <c r="M211" i="1" s="1"/>
  <c r="I212" i="1" l="1"/>
  <c r="J212" i="1" s="1"/>
  <c r="M212" i="1" s="1"/>
  <c r="I213" i="1" l="1"/>
  <c r="J213" i="1" s="1"/>
  <c r="M213" i="1" s="1"/>
  <c r="I214" i="1" l="1"/>
  <c r="J214" i="1" s="1"/>
  <c r="M214" i="1" s="1"/>
  <c r="I215" i="1" l="1"/>
  <c r="J215" i="1" s="1"/>
  <c r="M215" i="1" s="1"/>
  <c r="I216" i="1" l="1"/>
  <c r="J216" i="1" s="1"/>
  <c r="M216" i="1" s="1"/>
  <c r="I217" i="1" l="1"/>
  <c r="J217" i="1" s="1"/>
  <c r="M217" i="1" s="1"/>
  <c r="I218" i="1" l="1"/>
  <c r="J218" i="1" s="1"/>
  <c r="M218" i="1" s="1"/>
  <c r="I219" i="1" l="1"/>
  <c r="J219" i="1" s="1"/>
  <c r="M219" i="1" s="1"/>
  <c r="I220" i="1" l="1"/>
  <c r="J220" i="1" s="1"/>
  <c r="M220" i="1" s="1"/>
  <c r="I221" i="1" l="1"/>
  <c r="J221" i="1" s="1"/>
  <c r="M221" i="1" s="1"/>
  <c r="I222" i="1" l="1"/>
  <c r="J222" i="1" s="1"/>
  <c r="M222" i="1" s="1"/>
  <c r="I223" i="1" l="1"/>
  <c r="J223" i="1" s="1"/>
  <c r="M223" i="1" s="1"/>
  <c r="I224" i="1" l="1"/>
  <c r="J224" i="1" s="1"/>
  <c r="M224" i="1" s="1"/>
  <c r="I225" i="1" l="1"/>
  <c r="J225" i="1" s="1"/>
  <c r="M225" i="1" s="1"/>
  <c r="I226" i="1" l="1"/>
  <c r="J226" i="1" s="1"/>
  <c r="M226" i="1" s="1"/>
  <c r="I227" i="1" l="1"/>
  <c r="J227" i="1" s="1"/>
  <c r="M227" i="1" s="1"/>
  <c r="I228" i="1" l="1"/>
  <c r="J228" i="1" s="1"/>
  <c r="M228" i="1" s="1"/>
  <c r="I229" i="1" l="1"/>
  <c r="J229" i="1" s="1"/>
  <c r="M229" i="1" s="1"/>
  <c r="I230" i="1" l="1"/>
  <c r="J230" i="1" s="1"/>
  <c r="M230" i="1" s="1"/>
  <c r="I231" i="1" l="1"/>
  <c r="J231" i="1" s="1"/>
  <c r="M231" i="1" s="1"/>
  <c r="I232" i="1" l="1"/>
  <c r="J232" i="1" s="1"/>
  <c r="M232" i="1" s="1"/>
  <c r="I233" i="1" l="1"/>
  <c r="J233" i="1" s="1"/>
  <c r="M233" i="1" s="1"/>
  <c r="I234" i="1" l="1"/>
  <c r="J234" i="1" s="1"/>
  <c r="M234" i="1" s="1"/>
  <c r="I235" i="1" l="1"/>
  <c r="J235" i="1" s="1"/>
  <c r="M235" i="1" s="1"/>
  <c r="I236" i="1" l="1"/>
  <c r="J236" i="1" s="1"/>
  <c r="M236" i="1" s="1"/>
  <c r="I237" i="1" l="1"/>
  <c r="J237" i="1" s="1"/>
  <c r="M237" i="1" s="1"/>
  <c r="I238" i="1" l="1"/>
  <c r="J238" i="1" s="1"/>
  <c r="M238" i="1" s="1"/>
  <c r="I239" i="1" l="1"/>
  <c r="J239" i="1" s="1"/>
  <c r="M239" i="1" s="1"/>
  <c r="I240" i="1" l="1"/>
  <c r="J240" i="1" s="1"/>
  <c r="M240" i="1" s="1"/>
  <c r="I241" i="1" l="1"/>
  <c r="J241" i="1" s="1"/>
  <c r="M241" i="1" s="1"/>
  <c r="I242" i="1" l="1"/>
  <c r="J242" i="1" s="1"/>
  <c r="M242" i="1" s="1"/>
  <c r="I243" i="1" l="1"/>
  <c r="J243" i="1" s="1"/>
  <c r="M243" i="1" s="1"/>
</calcChain>
</file>

<file path=xl/sharedStrings.xml><?xml version="1.0" encoding="utf-8"?>
<sst xmlns="http://schemas.openxmlformats.org/spreadsheetml/2006/main" count="52" uniqueCount="22">
  <si>
    <t>Campo</t>
  </si>
  <si>
    <t>Valor</t>
  </si>
  <si>
    <t>Precio del Inmueble</t>
  </si>
  <si>
    <t>Inicial %</t>
  </si>
  <si>
    <t>Cuota Inicial</t>
  </si>
  <si>
    <t>Importe del Prestamo</t>
  </si>
  <si>
    <t>TEA</t>
  </si>
  <si>
    <t>TEM</t>
  </si>
  <si>
    <t>Plazo Meses</t>
  </si>
  <si>
    <t>Seguro Desgravamen TEM</t>
  </si>
  <si>
    <t>Seguro Inmueble TNA</t>
  </si>
  <si>
    <t>Cuota Base</t>
  </si>
  <si>
    <t>Cuota Mensual Aproximada</t>
  </si>
  <si>
    <t>Cuota Mensual Aporte</t>
  </si>
  <si>
    <t>Aporte Extra</t>
  </si>
  <si>
    <t>Mes</t>
  </si>
  <si>
    <t>Cuota Total</t>
  </si>
  <si>
    <t>Interés</t>
  </si>
  <si>
    <t>Amortización</t>
  </si>
  <si>
    <t>Seguros (Estimado)</t>
  </si>
  <si>
    <t>Saldo Deudor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</si>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</sst>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S/&quot;\ #,##0.00;[Red]\-&quot;S/&quot;\ #,##0.00"/>
    <numFmt numFmtId="164" formatCode="&quot;S/&quot;\ #,##0.00"/>
    <numFmt numFmtId="165" formatCode="&quot;S/&quot;\ 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8" fontId="2" fillId="0" borderId="1" xfId="0" applyNumberFormat="1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8" fontId="2" fillId="0" borderId="0" xfId="0" applyNumberFormat="1" applyFont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horizontal="left" vertical="center" wrapText="1" indent="1" readingOrder="1"/>
    </xf>
    <xf numFmtId="8" fontId="2" fillId="0" borderId="3" xfId="0" applyNumberFormat="1" applyFont="1" applyBorder="1" applyAlignment="1">
      <alignment horizontal="left" vertical="center" wrapText="1" indent="1" readingOrder="1"/>
    </xf>
    <xf numFmtId="8" fontId="2" fillId="0" borderId="5" xfId="0" applyNumberFormat="1" applyFont="1" applyBorder="1" applyAlignment="1">
      <alignment vertical="center" wrapText="1" readingOrder="1"/>
    </xf>
    <xf numFmtId="8" fontId="2" fillId="0" borderId="6" xfId="0" applyNumberFormat="1" applyFont="1" applyBorder="1" applyAlignment="1">
      <alignment vertical="center" wrapText="1" readingOrder="1"/>
    </xf>
    <xf numFmtId="8" fontId="2" fillId="0" borderId="7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A81C-D4D6-49F5-B174-FB4A03F12C6C}">
  <dimension ref="B1:O243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2" max="2" width="23.6640625" customWidth="1"/>
    <col min="3" max="3" width="15.6640625" customWidth="1"/>
    <col min="8" max="8" width="16.5546875" customWidth="1"/>
    <col min="9" max="9" width="13.6640625" customWidth="1"/>
    <col min="10" max="11" width="16.109375" customWidth="1"/>
    <col min="12" max="12" width="16" customWidth="1"/>
    <col min="13" max="13" width="18.88671875" customWidth="1"/>
    <col min="15" max="15" width="13.44140625" customWidth="1"/>
  </cols>
  <sheetData>
    <row r="1" spans="2:15" ht="15" customHeight="1" thickBot="1" x14ac:dyDescent="0.35"/>
    <row r="2" spans="2:15" ht="30.6" customHeight="1" thickBot="1" x14ac:dyDescent="0.35">
      <c r="B2" s="1" t="s">
        <v>0</v>
      </c>
      <c r="C2" s="1" t="s">
        <v>1</v>
      </c>
      <c r="G2" s="5" t="s">
        <v>15</v>
      </c>
      <c r="H2" s="5" t="s">
        <v>16</v>
      </c>
      <c r="I2" s="5" t="s">
        <v>17</v>
      </c>
      <c r="J2" s="5" t="s">
        <v>18</v>
      </c>
      <c r="K2" s="8" t="s">
        <v>14</v>
      </c>
      <c r="L2" s="10" t="s">
        <v>19</v>
      </c>
      <c r="M2" s="11" t="s">
        <v>20</v>
      </c>
    </row>
    <row r="3" spans="2:15" ht="15" thickBot="1" x14ac:dyDescent="0.35">
      <c r="B3" t="s">
        <v>2</v>
      </c>
      <c r="C3">
        <v>20000</v>
      </c>
      <c r="G3" s="6">
        <v>0</v>
      </c>
      <c r="H3" s="6" t="s">
        <v>21</v>
      </c>
      <c r="I3" s="6" t="s">
        <v>21</v>
      </c>
      <c r="J3" s="6" t="s">
        <v>21</v>
      </c>
      <c r="K3" s="6"/>
      <c r="L3" s="12" t="s">
        <v>21</v>
      </c>
      <c r="M3" s="14">
        <f>$C$6</f>
        <v>20000</v>
      </c>
    </row>
    <row r="4" spans="2:15" ht="15" thickBot="1" x14ac:dyDescent="0.35">
      <c r="B4" t="s">
        <v>3</v>
      </c>
      <c r="C4">
        <f>C5/C3</f>
        <v>0</v>
      </c>
      <c r="G4" s="6">
        <v>1</v>
      </c>
      <c r="H4" s="7">
        <f>$C$13</f>
        <v>977.01925720415568</v>
      </c>
      <c r="I4" s="7">
        <f>M3*$C$8</f>
        <v>244.53358933740788</v>
      </c>
      <c r="J4" s="7">
        <f>H4-I4-L4+K4</f>
        <v>942.25566786674779</v>
      </c>
      <c r="K4" s="7">
        <v>225</v>
      </c>
      <c r="L4" s="13">
        <v>15.23</v>
      </c>
      <c r="M4" s="15">
        <f>M3-J4</f>
        <v>19057.744332133254</v>
      </c>
    </row>
    <row r="5" spans="2:15" ht="15" thickBot="1" x14ac:dyDescent="0.35">
      <c r="B5" t="s">
        <v>4</v>
      </c>
      <c r="G5" s="6">
        <v>2</v>
      </c>
      <c r="H5" s="7">
        <f t="shared" ref="H5:H35" si="0">$C$13</f>
        <v>977.01925720415568</v>
      </c>
      <c r="I5" s="7">
        <f t="shared" ref="I5:I35" si="1">M4*$C$8</f>
        <v>233.01293131055928</v>
      </c>
      <c r="J5" s="7">
        <f>H5-I5-L5+K5</f>
        <v>728.77632589359632</v>
      </c>
      <c r="K5" s="7"/>
      <c r="L5" s="13">
        <v>15.23</v>
      </c>
      <c r="M5" s="15">
        <f>M4-J5</f>
        <v>18328.968006239658</v>
      </c>
    </row>
    <row r="6" spans="2:15" ht="15" thickBot="1" x14ac:dyDescent="0.35">
      <c r="B6" t="s">
        <v>5</v>
      </c>
      <c r="C6">
        <f>C3-C5</f>
        <v>20000</v>
      </c>
      <c r="G6" s="6">
        <v>3</v>
      </c>
      <c r="H6" s="7">
        <f t="shared" si="0"/>
        <v>977.01925720415568</v>
      </c>
      <c r="I6" s="7">
        <f t="shared" si="1"/>
        <v>224.10241677081481</v>
      </c>
      <c r="J6" s="7">
        <f t="shared" ref="J6:J35" si="2">H6-I6-L6+K6</f>
        <v>737.68684043334088</v>
      </c>
      <c r="K6" s="7"/>
      <c r="L6" s="13">
        <v>15.23</v>
      </c>
      <c r="M6" s="15">
        <f t="shared" ref="M6:M35" si="3">M5-J6</f>
        <v>17591.281165806318</v>
      </c>
      <c r="O6" s="9"/>
    </row>
    <row r="7" spans="2:15" ht="15" thickBot="1" x14ac:dyDescent="0.35">
      <c r="B7" t="s">
        <v>6</v>
      </c>
      <c r="C7" s="2">
        <v>0.157</v>
      </c>
      <c r="G7" s="6">
        <v>4</v>
      </c>
      <c r="H7" s="7">
        <f t="shared" si="0"/>
        <v>977.01925720415568</v>
      </c>
      <c r="I7" s="7">
        <f t="shared" si="1"/>
        <v>215.08295622590799</v>
      </c>
      <c r="J7" s="7">
        <f t="shared" si="2"/>
        <v>746.70630097824767</v>
      </c>
      <c r="K7" s="7"/>
      <c r="L7" s="13">
        <v>15.23</v>
      </c>
      <c r="M7" s="15">
        <f t="shared" si="3"/>
        <v>16844.574864828071</v>
      </c>
      <c r="O7" s="9"/>
    </row>
    <row r="8" spans="2:15" ht="15" thickBot="1" x14ac:dyDescent="0.35">
      <c r="B8" t="s">
        <v>7</v>
      </c>
      <c r="C8">
        <f>(1+C7)^(1/12)-1</f>
        <v>1.2226679466870394E-2</v>
      </c>
      <c r="G8" s="6">
        <v>5</v>
      </c>
      <c r="H8" s="7">
        <f t="shared" si="0"/>
        <v>977.01925720415568</v>
      </c>
      <c r="I8" s="7">
        <f t="shared" si="1"/>
        <v>205.95321762795453</v>
      </c>
      <c r="J8" s="7">
        <f t="shared" si="2"/>
        <v>755.83603957620107</v>
      </c>
      <c r="K8" s="7"/>
      <c r="L8" s="13">
        <v>15.23</v>
      </c>
      <c r="M8" s="15">
        <f t="shared" si="3"/>
        <v>16088.73882525187</v>
      </c>
      <c r="O8" s="9"/>
    </row>
    <row r="9" spans="2:15" ht="15" thickBot="1" x14ac:dyDescent="0.35">
      <c r="B9" t="s">
        <v>8</v>
      </c>
      <c r="C9">
        <v>24</v>
      </c>
      <c r="G9" s="6">
        <v>6</v>
      </c>
      <c r="H9" s="7">
        <f t="shared" si="0"/>
        <v>977.01925720415568</v>
      </c>
      <c r="I9" s="7">
        <f t="shared" si="1"/>
        <v>196.71185264254754</v>
      </c>
      <c r="J9" s="7">
        <f t="shared" si="2"/>
        <v>765.07740456160809</v>
      </c>
      <c r="K9" s="7"/>
      <c r="L9" s="13">
        <v>15.23</v>
      </c>
      <c r="M9" s="15">
        <f t="shared" si="3"/>
        <v>15323.661420690263</v>
      </c>
      <c r="O9" s="9"/>
    </row>
    <row r="10" spans="2:15" ht="15" thickBot="1" x14ac:dyDescent="0.35">
      <c r="B10" t="s">
        <v>9</v>
      </c>
      <c r="C10">
        <v>5.1999999999999995E-4</v>
      </c>
      <c r="G10" s="6">
        <v>7</v>
      </c>
      <c r="H10" s="7">
        <f t="shared" si="0"/>
        <v>977.01925720415568</v>
      </c>
      <c r="I10" s="7">
        <f t="shared" si="1"/>
        <v>187.35749644962766</v>
      </c>
      <c r="J10" s="7">
        <f t="shared" si="2"/>
        <v>774.431760754528</v>
      </c>
      <c r="K10" s="7"/>
      <c r="L10" s="13">
        <v>15.23</v>
      </c>
      <c r="M10" s="15">
        <f t="shared" si="3"/>
        <v>14549.229659935736</v>
      </c>
      <c r="O10" s="9"/>
    </row>
    <row r="11" spans="2:15" ht="15" thickBot="1" x14ac:dyDescent="0.35">
      <c r="B11" t="s">
        <v>10</v>
      </c>
      <c r="G11" s="6">
        <v>8</v>
      </c>
      <c r="H11" s="7">
        <f t="shared" si="0"/>
        <v>977.01925720415568</v>
      </c>
      <c r="I11" s="7">
        <f t="shared" si="1"/>
        <v>177.88876754191799</v>
      </c>
      <c r="J11" s="7">
        <f t="shared" si="2"/>
        <v>783.90048966223765</v>
      </c>
      <c r="K11" s="7"/>
      <c r="L11" s="13">
        <v>15.23</v>
      </c>
      <c r="M11" s="15">
        <f t="shared" si="3"/>
        <v>13765.329170273499</v>
      </c>
      <c r="O11" s="9"/>
    </row>
    <row r="12" spans="2:15" ht="15" thickBot="1" x14ac:dyDescent="0.35">
      <c r="B12" t="s">
        <v>11</v>
      </c>
      <c r="C12" s="3">
        <f>-PMT(C8,C9,C6)</f>
        <v>966.6192572041557</v>
      </c>
      <c r="G12" s="6">
        <v>9</v>
      </c>
      <c r="H12" s="7">
        <f t="shared" si="0"/>
        <v>977.01925720415568</v>
      </c>
      <c r="I12" s="7">
        <f t="shared" si="1"/>
        <v>168.30426752089505</v>
      </c>
      <c r="J12" s="7">
        <f t="shared" si="2"/>
        <v>793.48498968326066</v>
      </c>
      <c r="K12" s="7"/>
      <c r="L12" s="13">
        <v>15.23</v>
      </c>
      <c r="M12" s="15">
        <f t="shared" si="3"/>
        <v>12971.844180590238</v>
      </c>
      <c r="O12" s="9"/>
    </row>
    <row r="13" spans="2:15" ht="15" thickBot="1" x14ac:dyDescent="0.35">
      <c r="B13" t="s">
        <v>12</v>
      </c>
      <c r="C13" s="3">
        <f>C12 + (C6*C10) + (C3*C11/12)</f>
        <v>977.01925720415568</v>
      </c>
      <c r="G13" s="6">
        <v>10</v>
      </c>
      <c r="H13" s="7">
        <f t="shared" si="0"/>
        <v>977.01925720415568</v>
      </c>
      <c r="I13" s="7">
        <f t="shared" si="1"/>
        <v>158.60258089026487</v>
      </c>
      <c r="J13" s="7">
        <f t="shared" si="2"/>
        <v>803.18667631389076</v>
      </c>
      <c r="K13" s="7"/>
      <c r="L13" s="13">
        <v>15.23</v>
      </c>
      <c r="M13" s="15">
        <f t="shared" si="3"/>
        <v>12168.657504276347</v>
      </c>
      <c r="O13" s="9"/>
    </row>
    <row r="14" spans="2:15" ht="15" thickBot="1" x14ac:dyDescent="0.35">
      <c r="G14" s="6">
        <v>11</v>
      </c>
      <c r="H14" s="7">
        <f t="shared" si="0"/>
        <v>977.01925720415568</v>
      </c>
      <c r="I14" s="7">
        <f t="shared" si="1"/>
        <v>148.78227484691394</v>
      </c>
      <c r="J14" s="7">
        <f t="shared" si="2"/>
        <v>813.00698235724167</v>
      </c>
      <c r="K14" s="7"/>
      <c r="L14" s="13">
        <v>15.23</v>
      </c>
      <c r="M14" s="15">
        <f t="shared" si="3"/>
        <v>11355.650521919106</v>
      </c>
      <c r="O14" s="9"/>
    </row>
    <row r="15" spans="2:15" ht="15" thickBot="1" x14ac:dyDescent="0.35">
      <c r="B15" t="s">
        <v>14</v>
      </c>
      <c r="C15" s="4"/>
      <c r="G15" s="6">
        <v>12</v>
      </c>
      <c r="H15" s="7">
        <f t="shared" si="0"/>
        <v>977.01925720415568</v>
      </c>
      <c r="I15" s="7">
        <f t="shared" si="1"/>
        <v>138.84189906930439</v>
      </c>
      <c r="J15" s="7">
        <f t="shared" si="2"/>
        <v>822.94735813485124</v>
      </c>
      <c r="K15" s="7"/>
      <c r="L15" s="13">
        <v>15.23</v>
      </c>
      <c r="M15" s="15">
        <f t="shared" si="3"/>
        <v>10532.703163784254</v>
      </c>
      <c r="O15" s="9"/>
    </row>
    <row r="16" spans="2:15" ht="15" thickBot="1" x14ac:dyDescent="0.35">
      <c r="B16" t="s">
        <v>13</v>
      </c>
      <c r="C16" s="3">
        <f>C15+C13</f>
        <v>977.01925720415568</v>
      </c>
      <c r="G16" s="6">
        <v>13</v>
      </c>
      <c r="H16" s="7">
        <f t="shared" si="0"/>
        <v>977.01925720415568</v>
      </c>
      <c r="I16" s="7">
        <f t="shared" si="1"/>
        <v>128.77998550328178</v>
      </c>
      <c r="J16" s="7">
        <f t="shared" si="2"/>
        <v>833.00927170087391</v>
      </c>
      <c r="K16" s="7"/>
      <c r="L16" s="13">
        <v>15.23</v>
      </c>
      <c r="M16" s="15">
        <f t="shared" si="3"/>
        <v>9699.69389208338</v>
      </c>
    </row>
    <row r="17" spans="7:13" ht="15" thickBot="1" x14ac:dyDescent="0.35">
      <c r="G17" s="6">
        <v>14</v>
      </c>
      <c r="H17" s="7">
        <f t="shared" si="0"/>
        <v>977.01925720415568</v>
      </c>
      <c r="I17" s="7">
        <f t="shared" si="1"/>
        <v>118.59504814526403</v>
      </c>
      <c r="J17" s="7">
        <f t="shared" si="2"/>
        <v>843.1942090588916</v>
      </c>
      <c r="K17" s="7"/>
      <c r="L17" s="13">
        <v>15.23</v>
      </c>
      <c r="M17" s="15">
        <f t="shared" si="3"/>
        <v>8856.4996830244891</v>
      </c>
    </row>
    <row r="18" spans="7:13" ht="15" thickBot="1" x14ac:dyDescent="0.35">
      <c r="G18" s="6">
        <v>15</v>
      </c>
      <c r="H18" s="7">
        <f t="shared" si="0"/>
        <v>977.01925720415568</v>
      </c>
      <c r="I18" s="7">
        <f t="shared" si="1"/>
        <v>108.28558282277967</v>
      </c>
      <c r="J18" s="7">
        <f t="shared" si="2"/>
        <v>853.50367438137596</v>
      </c>
      <c r="K18" s="7"/>
      <c r="L18" s="13">
        <v>15.23</v>
      </c>
      <c r="M18" s="15">
        <f t="shared" si="3"/>
        <v>8002.9960086431129</v>
      </c>
    </row>
    <row r="19" spans="7:13" ht="15" thickBot="1" x14ac:dyDescent="0.35">
      <c r="G19" s="6">
        <v>16</v>
      </c>
      <c r="H19" s="7">
        <f t="shared" si="0"/>
        <v>977.01925720415568</v>
      </c>
      <c r="I19" s="7">
        <f t="shared" si="1"/>
        <v>97.850066972322466</v>
      </c>
      <c r="J19" s="7">
        <f t="shared" si="2"/>
        <v>863.93919023183321</v>
      </c>
      <c r="K19" s="7"/>
      <c r="L19" s="13">
        <v>15.23</v>
      </c>
      <c r="M19" s="15">
        <f t="shared" si="3"/>
        <v>7139.0568184112799</v>
      </c>
    </row>
    <row r="20" spans="7:13" ht="15" thickBot="1" x14ac:dyDescent="0.35">
      <c r="G20" s="6">
        <v>17</v>
      </c>
      <c r="H20" s="7">
        <f t="shared" si="0"/>
        <v>977.01925720415568</v>
      </c>
      <c r="I20" s="7">
        <f t="shared" si="1"/>
        <v>87.286959414490283</v>
      </c>
      <c r="J20" s="7">
        <f t="shared" si="2"/>
        <v>874.50229778966536</v>
      </c>
      <c r="K20" s="7"/>
      <c r="L20" s="13">
        <v>15.23</v>
      </c>
      <c r="M20" s="15">
        <f t="shared" si="3"/>
        <v>6264.5545206216148</v>
      </c>
    </row>
    <row r="21" spans="7:13" ht="15" thickBot="1" x14ac:dyDescent="0.35">
      <c r="G21" s="6">
        <v>18</v>
      </c>
      <c r="H21" s="7">
        <f t="shared" si="0"/>
        <v>977.01925720415568</v>
      </c>
      <c r="I21" s="7">
        <f t="shared" si="1"/>
        <v>76.594700126374406</v>
      </c>
      <c r="J21" s="7">
        <f t="shared" si="2"/>
        <v>885.19455707778127</v>
      </c>
      <c r="K21" s="7"/>
      <c r="L21" s="13">
        <v>15.23</v>
      </c>
      <c r="M21" s="15">
        <f t="shared" si="3"/>
        <v>5379.3599635438331</v>
      </c>
    </row>
    <row r="22" spans="7:13" ht="15" thickBot="1" x14ac:dyDescent="0.35">
      <c r="G22" s="6">
        <v>19</v>
      </c>
      <c r="H22" s="7">
        <f t="shared" si="0"/>
        <v>977.01925720415568</v>
      </c>
      <c r="I22" s="7">
        <f t="shared" si="1"/>
        <v>65.77171001116605</v>
      </c>
      <c r="J22" s="7">
        <f t="shared" si="2"/>
        <v>896.01754719298958</v>
      </c>
      <c r="K22" s="7"/>
      <c r="L22" s="13">
        <v>15.23</v>
      </c>
      <c r="M22" s="15">
        <f t="shared" si="3"/>
        <v>4483.3424163508435</v>
      </c>
    </row>
    <row r="23" spans="7:13" ht="15" thickBot="1" x14ac:dyDescent="0.35">
      <c r="G23" s="6">
        <v>20</v>
      </c>
      <c r="H23" s="7">
        <f t="shared" si="0"/>
        <v>977.01925720415568</v>
      </c>
      <c r="I23" s="7">
        <f t="shared" si="1"/>
        <v>54.816390664945956</v>
      </c>
      <c r="J23" s="7">
        <f t="shared" si="2"/>
        <v>906.97286653920969</v>
      </c>
      <c r="K23" s="7"/>
      <c r="L23" s="13">
        <v>15.23</v>
      </c>
      <c r="M23" s="15">
        <f t="shared" si="3"/>
        <v>3576.369549811634</v>
      </c>
    </row>
    <row r="24" spans="7:13" ht="15" thickBot="1" x14ac:dyDescent="0.35">
      <c r="G24" s="6">
        <v>21</v>
      </c>
      <c r="H24" s="7">
        <f t="shared" si="0"/>
        <v>977.01925720415568</v>
      </c>
      <c r="I24" s="7">
        <f t="shared" si="1"/>
        <v>43.727124140622422</v>
      </c>
      <c r="J24" s="7">
        <f t="shared" si="2"/>
        <v>918.06213306353322</v>
      </c>
      <c r="K24" s="7"/>
      <c r="L24" s="13">
        <v>15.23</v>
      </c>
      <c r="M24" s="15">
        <f t="shared" si="3"/>
        <v>2658.3074167481009</v>
      </c>
    </row>
    <row r="25" spans="7:13" ht="15" thickBot="1" x14ac:dyDescent="0.35">
      <c r="G25" s="6">
        <v>22</v>
      </c>
      <c r="H25" s="7">
        <f t="shared" si="0"/>
        <v>977.01925720415568</v>
      </c>
      <c r="I25" s="7">
        <f t="shared" si="1"/>
        <v>32.502272708983284</v>
      </c>
      <c r="J25" s="7">
        <f t="shared" si="2"/>
        <v>929.28698449517242</v>
      </c>
      <c r="K25" s="7"/>
      <c r="L25" s="13">
        <v>15.23</v>
      </c>
      <c r="M25" s="15">
        <f t="shared" si="3"/>
        <v>1729.0204322529285</v>
      </c>
    </row>
    <row r="26" spans="7:13" ht="15" thickBot="1" x14ac:dyDescent="0.35">
      <c r="G26" s="6">
        <v>23</v>
      </c>
      <c r="H26" s="7">
        <f t="shared" si="0"/>
        <v>977.01925720415568</v>
      </c>
      <c r="I26" s="7">
        <f t="shared" si="1"/>
        <v>21.140178616826255</v>
      </c>
      <c r="J26" s="7">
        <f t="shared" si="2"/>
        <v>940.64907858732943</v>
      </c>
      <c r="K26" s="7"/>
      <c r="L26" s="13">
        <v>15.23</v>
      </c>
      <c r="M26" s="15">
        <f t="shared" si="3"/>
        <v>788.37135366559903</v>
      </c>
    </row>
    <row r="27" spans="7:13" ht="15" thickBot="1" x14ac:dyDescent="0.35">
      <c r="G27" s="6">
        <v>24</v>
      </c>
      <c r="H27" s="7">
        <f t="shared" si="0"/>
        <v>977.01925720415568</v>
      </c>
      <c r="I27" s="7">
        <f t="shared" si="1"/>
        <v>9.6391638421319978</v>
      </c>
      <c r="J27" s="7">
        <f t="shared" si="2"/>
        <v>952.15009336202365</v>
      </c>
      <c r="K27" s="7"/>
      <c r="L27" s="13">
        <v>15.23</v>
      </c>
      <c r="M27" s="15">
        <f t="shared" si="3"/>
        <v>-163.77873969642462</v>
      </c>
    </row>
    <row r="28" spans="7:13" ht="15" thickBot="1" x14ac:dyDescent="0.35">
      <c r="G28" s="6">
        <v>25</v>
      </c>
      <c r="H28" s="7">
        <f t="shared" si="0"/>
        <v>977.01925720415568</v>
      </c>
      <c r="I28" s="7">
        <f t="shared" si="1"/>
        <v>-2.0024701537561862</v>
      </c>
      <c r="J28" s="7">
        <f t="shared" si="2"/>
        <v>963.7917273579119</v>
      </c>
      <c r="K28" s="7"/>
      <c r="L28" s="13">
        <v>15.23</v>
      </c>
      <c r="M28" s="15">
        <f t="shared" si="3"/>
        <v>-1127.5704670543364</v>
      </c>
    </row>
    <row r="29" spans="7:13" ht="15" thickBot="1" x14ac:dyDescent="0.35">
      <c r="G29" s="6">
        <v>26</v>
      </c>
      <c r="H29" s="7">
        <f t="shared" si="0"/>
        <v>977.01925720415568</v>
      </c>
      <c r="I29" s="7">
        <f t="shared" si="1"/>
        <v>-13.786442676982714</v>
      </c>
      <c r="J29" s="7">
        <f t="shared" si="2"/>
        <v>975.57569988113835</v>
      </c>
      <c r="K29" s="7"/>
      <c r="L29" s="13">
        <v>15.23</v>
      </c>
      <c r="M29" s="15">
        <f t="shared" si="3"/>
        <v>-2103.1461669354749</v>
      </c>
    </row>
    <row r="30" spans="7:13" ht="15" thickBot="1" x14ac:dyDescent="0.35">
      <c r="G30" s="6">
        <v>27</v>
      </c>
      <c r="H30" s="7">
        <f t="shared" si="0"/>
        <v>977.01925720415568</v>
      </c>
      <c r="I30" s="7">
        <f t="shared" si="1"/>
        <v>-25.714494055097145</v>
      </c>
      <c r="J30" s="7">
        <f t="shared" si="2"/>
        <v>987.50375125925279</v>
      </c>
      <c r="K30" s="7"/>
      <c r="L30" s="13">
        <v>15.23</v>
      </c>
      <c r="M30" s="15">
        <f t="shared" si="3"/>
        <v>-3090.6499181947274</v>
      </c>
    </row>
    <row r="31" spans="7:13" ht="15" thickBot="1" x14ac:dyDescent="0.35">
      <c r="G31" s="6">
        <v>28</v>
      </c>
      <c r="H31" s="7">
        <f t="shared" si="0"/>
        <v>977.01925720415568</v>
      </c>
      <c r="I31" s="7">
        <f t="shared" si="1"/>
        <v>-37.788385894076136</v>
      </c>
      <c r="J31" s="7">
        <f t="shared" si="2"/>
        <v>999.57764309823176</v>
      </c>
      <c r="K31" s="7"/>
      <c r="L31" s="13">
        <v>15.23</v>
      </c>
      <c r="M31" s="15">
        <f t="shared" si="3"/>
        <v>-4090.2275612929593</v>
      </c>
    </row>
    <row r="32" spans="7:13" ht="15" thickBot="1" x14ac:dyDescent="0.35">
      <c r="G32" s="6">
        <v>29</v>
      </c>
      <c r="H32" s="7">
        <f t="shared" si="0"/>
        <v>977.01925720415568</v>
      </c>
      <c r="I32" s="7">
        <f t="shared" si="1"/>
        <v>-50.009901338487992</v>
      </c>
      <c r="J32" s="7">
        <f t="shared" si="2"/>
        <v>1011.7991585426437</v>
      </c>
      <c r="K32" s="7"/>
      <c r="L32" s="13">
        <v>15.23</v>
      </c>
      <c r="M32" s="15">
        <f t="shared" si="3"/>
        <v>-5102.0267198356032</v>
      </c>
    </row>
    <row r="33" spans="7:13" ht="15" thickBot="1" x14ac:dyDescent="0.35">
      <c r="G33" s="6">
        <v>30</v>
      </c>
      <c r="H33" s="7">
        <f t="shared" si="0"/>
        <v>977.01925720415568</v>
      </c>
      <c r="I33" s="7">
        <f t="shared" si="1"/>
        <v>-62.380845334838078</v>
      </c>
      <c r="J33" s="7">
        <f t="shared" si="2"/>
        <v>1024.1701025389937</v>
      </c>
      <c r="K33" s="7"/>
      <c r="L33" s="13">
        <v>15.23</v>
      </c>
      <c r="M33" s="15">
        <f t="shared" si="3"/>
        <v>-6126.1968223745971</v>
      </c>
    </row>
    <row r="34" spans="7:13" ht="15" thickBot="1" x14ac:dyDescent="0.35">
      <c r="G34" s="6">
        <v>31</v>
      </c>
      <c r="H34" s="7">
        <f t="shared" si="0"/>
        <v>977.01925720415568</v>
      </c>
      <c r="I34" s="7">
        <f t="shared" si="1"/>
        <v>-74.903044898134141</v>
      </c>
      <c r="J34" s="7">
        <f t="shared" si="2"/>
        <v>1036.6923021022899</v>
      </c>
      <c r="K34" s="7"/>
      <c r="L34" s="13">
        <v>15.23</v>
      </c>
      <c r="M34" s="15">
        <f t="shared" si="3"/>
        <v>-7162.8891244768874</v>
      </c>
    </row>
    <row r="35" spans="7:13" ht="15" thickBot="1" x14ac:dyDescent="0.35">
      <c r="G35" s="6">
        <v>32</v>
      </c>
      <c r="H35" s="7">
        <f t="shared" si="0"/>
        <v>977.01925720415568</v>
      </c>
      <c r="I35" s="7">
        <f t="shared" si="1"/>
        <v>-87.578349381710808</v>
      </c>
      <c r="J35" s="7">
        <f t="shared" si="2"/>
        <v>1049.3676065858665</v>
      </c>
      <c r="K35" s="7"/>
      <c r="L35" s="13">
        <v>15.23</v>
      </c>
      <c r="M35" s="15">
        <f t="shared" si="3"/>
        <v>-8212.2567310627546</v>
      </c>
    </row>
    <row r="36" spans="7:13" ht="15" thickBot="1" x14ac:dyDescent="0.35">
      <c r="G36" s="6"/>
      <c r="H36" s="7"/>
      <c r="I36" s="7"/>
      <c r="J36" s="7"/>
      <c r="K36" s="7"/>
      <c r="L36" s="13"/>
      <c r="M36" s="15"/>
    </row>
    <row r="37" spans="7:13" ht="15" thickBot="1" x14ac:dyDescent="0.35">
      <c r="G37" s="6"/>
      <c r="H37" s="7"/>
      <c r="I37" s="7"/>
      <c r="J37" s="7"/>
      <c r="K37" s="7"/>
      <c r="L37" s="13"/>
      <c r="M37" s="15"/>
    </row>
    <row r="38" spans="7:13" ht="15" thickBot="1" x14ac:dyDescent="0.35">
      <c r="G38" s="6"/>
      <c r="H38" s="7"/>
      <c r="I38" s="7"/>
      <c r="J38" s="7"/>
      <c r="K38" s="7"/>
      <c r="L38" s="13"/>
      <c r="M38" s="15"/>
    </row>
    <row r="39" spans="7:13" ht="15" thickBot="1" x14ac:dyDescent="0.35">
      <c r="G39" s="6"/>
      <c r="H39" s="7"/>
      <c r="I39" s="7"/>
      <c r="J39" s="7"/>
      <c r="K39" s="7"/>
      <c r="L39" s="13"/>
      <c r="M39" s="15"/>
    </row>
    <row r="40" spans="7:13" ht="15" thickBot="1" x14ac:dyDescent="0.35">
      <c r="G40" s="6"/>
      <c r="H40" s="7"/>
      <c r="I40" s="7"/>
      <c r="J40" s="7"/>
      <c r="K40" s="7"/>
      <c r="L40" s="13"/>
      <c r="M40" s="15"/>
    </row>
    <row r="41" spans="7:13" ht="15" thickBot="1" x14ac:dyDescent="0.35">
      <c r="G41" s="6"/>
      <c r="H41" s="7"/>
      <c r="I41" s="7"/>
      <c r="J41" s="7"/>
      <c r="K41" s="7"/>
      <c r="L41" s="13"/>
      <c r="M41" s="15"/>
    </row>
    <row r="42" spans="7:13" ht="15" thickBot="1" x14ac:dyDescent="0.35">
      <c r="G42" s="6"/>
      <c r="H42" s="7"/>
      <c r="I42" s="7"/>
      <c r="J42" s="7"/>
      <c r="K42" s="7"/>
      <c r="L42" s="13"/>
      <c r="M42" s="15"/>
    </row>
    <row r="43" spans="7:13" ht="15" thickBot="1" x14ac:dyDescent="0.35">
      <c r="G43" s="6"/>
      <c r="H43" s="7"/>
      <c r="I43" s="7"/>
      <c r="J43" s="7"/>
      <c r="K43" s="7"/>
      <c r="L43" s="13"/>
      <c r="M43" s="15"/>
    </row>
    <row r="44" spans="7:13" ht="15" thickBot="1" x14ac:dyDescent="0.35">
      <c r="G44" s="6"/>
      <c r="H44" s="7"/>
      <c r="I44" s="7"/>
      <c r="J44" s="7"/>
      <c r="K44" s="7"/>
      <c r="L44" s="13"/>
      <c r="M44" s="15"/>
    </row>
    <row r="45" spans="7:13" ht="15" thickBot="1" x14ac:dyDescent="0.35">
      <c r="G45" s="6"/>
      <c r="H45" s="7"/>
      <c r="I45" s="7"/>
      <c r="J45" s="7"/>
      <c r="K45" s="7"/>
      <c r="L45" s="13"/>
      <c r="M45" s="15"/>
    </row>
    <row r="46" spans="7:13" ht="15" thickBot="1" x14ac:dyDescent="0.35">
      <c r="G46" s="6"/>
      <c r="H46" s="7"/>
      <c r="I46" s="7"/>
      <c r="J46" s="7"/>
      <c r="K46" s="7"/>
      <c r="L46" s="13"/>
      <c r="M46" s="15"/>
    </row>
    <row r="47" spans="7:13" ht="15" thickBot="1" x14ac:dyDescent="0.35">
      <c r="G47" s="6"/>
      <c r="H47" s="7"/>
      <c r="I47" s="7"/>
      <c r="J47" s="7"/>
      <c r="K47" s="7"/>
      <c r="L47" s="13"/>
      <c r="M47" s="15"/>
    </row>
    <row r="48" spans="7:13" ht="15" thickBot="1" x14ac:dyDescent="0.35">
      <c r="G48" s="6"/>
      <c r="H48" s="7"/>
      <c r="I48" s="7"/>
      <c r="J48" s="7"/>
      <c r="K48" s="7"/>
      <c r="L48" s="13"/>
      <c r="M48" s="15"/>
    </row>
    <row r="49" spans="7:13" ht="15" thickBot="1" x14ac:dyDescent="0.35">
      <c r="G49" s="6"/>
      <c r="H49" s="7"/>
      <c r="I49" s="7"/>
      <c r="J49" s="7"/>
      <c r="K49" s="7"/>
      <c r="L49" s="13"/>
      <c r="M49" s="15"/>
    </row>
    <row r="50" spans="7:13" ht="15" thickBot="1" x14ac:dyDescent="0.35">
      <c r="G50" s="6"/>
      <c r="H50" s="7"/>
      <c r="I50" s="7"/>
      <c r="J50" s="7"/>
      <c r="K50" s="7"/>
      <c r="L50" s="13"/>
      <c r="M50" s="15"/>
    </row>
    <row r="51" spans="7:13" ht="15" thickBot="1" x14ac:dyDescent="0.35">
      <c r="G51" s="6"/>
      <c r="H51" s="7"/>
      <c r="I51" s="7"/>
      <c r="J51" s="7"/>
      <c r="K51" s="7"/>
      <c r="L51" s="13"/>
      <c r="M51" s="15"/>
    </row>
    <row r="52" spans="7:13" ht="15" thickBot="1" x14ac:dyDescent="0.35">
      <c r="G52" s="6"/>
      <c r="H52" s="7"/>
      <c r="I52" s="7"/>
      <c r="J52" s="7"/>
      <c r="K52" s="7"/>
      <c r="L52" s="13"/>
      <c r="M52" s="15"/>
    </row>
    <row r="53" spans="7:13" ht="15" thickBot="1" x14ac:dyDescent="0.35">
      <c r="G53" s="6"/>
      <c r="H53" s="7"/>
      <c r="I53" s="7"/>
      <c r="J53" s="7"/>
      <c r="K53" s="7"/>
      <c r="L53" s="13"/>
      <c r="M53" s="15"/>
    </row>
    <row r="54" spans="7:13" ht="15" thickBot="1" x14ac:dyDescent="0.35">
      <c r="G54" s="6"/>
      <c r="H54" s="7"/>
      <c r="I54" s="7"/>
      <c r="J54" s="7"/>
      <c r="K54" s="7"/>
      <c r="L54" s="13"/>
      <c r="M54" s="15"/>
    </row>
    <row r="55" spans="7:13" ht="15" thickBot="1" x14ac:dyDescent="0.35">
      <c r="G55" s="6"/>
      <c r="H55" s="7"/>
      <c r="I55" s="7"/>
      <c r="J55" s="7"/>
      <c r="K55" s="7"/>
      <c r="L55" s="13"/>
      <c r="M55" s="15"/>
    </row>
    <row r="56" spans="7:13" ht="15" thickBot="1" x14ac:dyDescent="0.35">
      <c r="G56" s="6"/>
      <c r="H56" s="7"/>
      <c r="I56" s="7"/>
      <c r="J56" s="7"/>
      <c r="K56" s="7"/>
      <c r="L56" s="13"/>
      <c r="M56" s="15"/>
    </row>
    <row r="57" spans="7:13" ht="15" thickBot="1" x14ac:dyDescent="0.35">
      <c r="G57" s="6"/>
      <c r="H57" s="7"/>
      <c r="I57" s="7"/>
      <c r="J57" s="7"/>
      <c r="K57" s="7"/>
      <c r="L57" s="13"/>
      <c r="M57" s="15"/>
    </row>
    <row r="58" spans="7:13" ht="15" thickBot="1" x14ac:dyDescent="0.35">
      <c r="G58" s="6"/>
      <c r="H58" s="7"/>
      <c r="I58" s="7"/>
      <c r="J58" s="7"/>
      <c r="K58" s="7"/>
      <c r="L58" s="13"/>
      <c r="M58" s="15"/>
    </row>
    <row r="59" spans="7:13" ht="15" thickBot="1" x14ac:dyDescent="0.35">
      <c r="G59" s="6"/>
      <c r="H59" s="7"/>
      <c r="I59" s="7"/>
      <c r="J59" s="7"/>
      <c r="K59" s="7"/>
      <c r="L59" s="13"/>
      <c r="M59" s="15"/>
    </row>
    <row r="60" spans="7:13" ht="15" thickBot="1" x14ac:dyDescent="0.35">
      <c r="G60" s="6"/>
      <c r="H60" s="7"/>
      <c r="I60" s="7"/>
      <c r="J60" s="7"/>
      <c r="K60" s="7"/>
      <c r="L60" s="13"/>
      <c r="M60" s="15"/>
    </row>
    <row r="61" spans="7:13" ht="15" thickBot="1" x14ac:dyDescent="0.35">
      <c r="G61" s="6"/>
      <c r="H61" s="7"/>
      <c r="I61" s="7"/>
      <c r="J61" s="7"/>
      <c r="K61" s="7"/>
      <c r="L61" s="13"/>
      <c r="M61" s="15"/>
    </row>
    <row r="62" spans="7:13" ht="15" thickBot="1" x14ac:dyDescent="0.35">
      <c r="G62" s="6"/>
      <c r="H62" s="7"/>
      <c r="I62" s="7"/>
      <c r="J62" s="7"/>
      <c r="K62" s="7"/>
      <c r="L62" s="13"/>
      <c r="M62" s="15"/>
    </row>
    <row r="63" spans="7:13" ht="15" thickBot="1" x14ac:dyDescent="0.35">
      <c r="G63" s="6"/>
      <c r="H63" s="7"/>
      <c r="I63" s="7"/>
      <c r="J63" s="7"/>
      <c r="K63" s="7"/>
      <c r="L63" s="13"/>
      <c r="M63" s="15"/>
    </row>
    <row r="64" spans="7:13" ht="15" thickBot="1" x14ac:dyDescent="0.35">
      <c r="G64" s="6"/>
      <c r="H64" s="7"/>
      <c r="I64" s="7"/>
      <c r="J64" s="7"/>
      <c r="K64" s="7"/>
      <c r="L64" s="13"/>
      <c r="M64" s="15"/>
    </row>
    <row r="65" spans="7:13" ht="15" thickBot="1" x14ac:dyDescent="0.35">
      <c r="G65" s="6"/>
      <c r="H65" s="7"/>
      <c r="I65" s="7"/>
      <c r="J65" s="7"/>
      <c r="K65" s="7"/>
      <c r="L65" s="13"/>
      <c r="M65" s="15"/>
    </row>
    <row r="66" spans="7:13" ht="15" thickBot="1" x14ac:dyDescent="0.35">
      <c r="G66" s="6"/>
      <c r="H66" s="7"/>
      <c r="I66" s="7"/>
      <c r="J66" s="7"/>
      <c r="K66" s="7"/>
      <c r="L66" s="13"/>
      <c r="M66" s="15"/>
    </row>
    <row r="67" spans="7:13" ht="15" thickBot="1" x14ac:dyDescent="0.35">
      <c r="G67" s="6"/>
      <c r="H67" s="7"/>
      <c r="I67" s="7"/>
      <c r="J67" s="7"/>
      <c r="K67" s="7"/>
      <c r="L67" s="13"/>
      <c r="M67" s="15"/>
    </row>
    <row r="68" spans="7:13" ht="15" thickBot="1" x14ac:dyDescent="0.35">
      <c r="G68" s="6"/>
      <c r="H68" s="7"/>
      <c r="I68" s="7"/>
      <c r="J68" s="7"/>
      <c r="K68" s="7"/>
      <c r="L68" s="13"/>
      <c r="M68" s="15"/>
    </row>
    <row r="69" spans="7:13" ht="15" thickBot="1" x14ac:dyDescent="0.35">
      <c r="G69" s="6"/>
      <c r="H69" s="7"/>
      <c r="I69" s="7"/>
      <c r="J69" s="7"/>
      <c r="K69" s="7"/>
      <c r="L69" s="13"/>
      <c r="M69" s="15"/>
    </row>
    <row r="70" spans="7:13" ht="15" thickBot="1" x14ac:dyDescent="0.35">
      <c r="G70" s="6"/>
      <c r="H70" s="7"/>
      <c r="I70" s="7"/>
      <c r="J70" s="7"/>
      <c r="K70" s="7"/>
      <c r="L70" s="13"/>
      <c r="M70" s="15"/>
    </row>
    <row r="71" spans="7:13" ht="15" thickBot="1" x14ac:dyDescent="0.35">
      <c r="G71" s="6"/>
      <c r="H71" s="7"/>
      <c r="I71" s="7"/>
      <c r="J71" s="7"/>
      <c r="K71" s="7"/>
      <c r="L71" s="13"/>
      <c r="M71" s="15"/>
    </row>
    <row r="72" spans="7:13" ht="15" thickBot="1" x14ac:dyDescent="0.35">
      <c r="G72" s="6"/>
      <c r="H72" s="7"/>
      <c r="I72" s="7"/>
      <c r="J72" s="7"/>
      <c r="K72" s="7"/>
      <c r="L72" s="13"/>
      <c r="M72" s="15"/>
    </row>
    <row r="73" spans="7:13" ht="15" thickBot="1" x14ac:dyDescent="0.35">
      <c r="G73" s="6"/>
      <c r="H73" s="7"/>
      <c r="I73" s="7"/>
      <c r="J73" s="7"/>
      <c r="K73" s="7"/>
      <c r="L73" s="13"/>
      <c r="M73" s="15"/>
    </row>
    <row r="74" spans="7:13" ht="15" thickBot="1" x14ac:dyDescent="0.35">
      <c r="G74" s="6"/>
      <c r="H74" s="7"/>
      <c r="I74" s="7"/>
      <c r="J74" s="7"/>
      <c r="K74" s="7"/>
      <c r="L74" s="13"/>
      <c r="M74" s="15"/>
    </row>
    <row r="75" spans="7:13" ht="15" thickBot="1" x14ac:dyDescent="0.35">
      <c r="G75" s="6"/>
      <c r="H75" s="7"/>
      <c r="I75" s="7"/>
      <c r="J75" s="7"/>
      <c r="K75" s="7"/>
      <c r="L75" s="13"/>
      <c r="M75" s="15"/>
    </row>
    <row r="76" spans="7:13" ht="15" thickBot="1" x14ac:dyDescent="0.35">
      <c r="G76" s="6"/>
      <c r="H76" s="7"/>
      <c r="I76" s="7"/>
      <c r="J76" s="7"/>
      <c r="K76" s="7"/>
      <c r="L76" s="13"/>
      <c r="M76" s="15"/>
    </row>
    <row r="77" spans="7:13" ht="15" thickBot="1" x14ac:dyDescent="0.35">
      <c r="G77" s="6"/>
      <c r="H77" s="7"/>
      <c r="I77" s="7"/>
      <c r="J77" s="7"/>
      <c r="K77" s="7"/>
      <c r="L77" s="13"/>
      <c r="M77" s="15"/>
    </row>
    <row r="78" spans="7:13" ht="15" thickBot="1" x14ac:dyDescent="0.35">
      <c r="G78" s="6"/>
      <c r="H78" s="7"/>
      <c r="I78" s="7"/>
      <c r="J78" s="7"/>
      <c r="K78" s="7"/>
      <c r="L78" s="13"/>
      <c r="M78" s="15"/>
    </row>
    <row r="79" spans="7:13" ht="15" thickBot="1" x14ac:dyDescent="0.35">
      <c r="G79" s="6"/>
      <c r="H79" s="7"/>
      <c r="I79" s="7"/>
      <c r="J79" s="7"/>
      <c r="K79" s="7"/>
      <c r="L79" s="13"/>
      <c r="M79" s="15"/>
    </row>
    <row r="80" spans="7:13" ht="15" thickBot="1" x14ac:dyDescent="0.35">
      <c r="G80" s="6"/>
      <c r="H80" s="7"/>
      <c r="I80" s="7"/>
      <c r="J80" s="7"/>
      <c r="K80" s="7"/>
      <c r="L80" s="13"/>
      <c r="M80" s="15"/>
    </row>
    <row r="81" spans="7:13" ht="15" thickBot="1" x14ac:dyDescent="0.35">
      <c r="G81" s="6"/>
      <c r="H81" s="7"/>
      <c r="I81" s="7"/>
      <c r="J81" s="7"/>
      <c r="K81" s="7"/>
      <c r="L81" s="13"/>
      <c r="M81" s="15"/>
    </row>
    <row r="82" spans="7:13" ht="15" thickBot="1" x14ac:dyDescent="0.35">
      <c r="G82" s="6"/>
      <c r="H82" s="7"/>
      <c r="I82" s="7"/>
      <c r="J82" s="7"/>
      <c r="K82" s="7"/>
      <c r="L82" s="13"/>
      <c r="M82" s="15"/>
    </row>
    <row r="83" spans="7:13" ht="15" thickBot="1" x14ac:dyDescent="0.35">
      <c r="G83" s="6"/>
      <c r="H83" s="7"/>
      <c r="I83" s="7"/>
      <c r="J83" s="7"/>
      <c r="K83" s="7"/>
      <c r="L83" s="13"/>
      <c r="M83" s="15"/>
    </row>
    <row r="84" spans="7:13" ht="15" thickBot="1" x14ac:dyDescent="0.35">
      <c r="G84" s="6"/>
      <c r="H84" s="7"/>
      <c r="I84" s="7"/>
      <c r="J84" s="7"/>
      <c r="K84" s="7"/>
      <c r="L84" s="13"/>
      <c r="M84" s="15"/>
    </row>
    <row r="85" spans="7:13" ht="15" thickBot="1" x14ac:dyDescent="0.35">
      <c r="G85" s="6"/>
      <c r="H85" s="7"/>
      <c r="I85" s="7"/>
      <c r="J85" s="7"/>
      <c r="K85" s="7"/>
      <c r="L85" s="13"/>
      <c r="M85" s="15"/>
    </row>
    <row r="86" spans="7:13" ht="15" thickBot="1" x14ac:dyDescent="0.35">
      <c r="G86" s="6"/>
      <c r="H86" s="7"/>
      <c r="I86" s="7"/>
      <c r="J86" s="7"/>
      <c r="K86" s="7"/>
      <c r="L86" s="13"/>
      <c r="M86" s="15"/>
    </row>
    <row r="87" spans="7:13" ht="15" thickBot="1" x14ac:dyDescent="0.35">
      <c r="G87" s="6"/>
      <c r="H87" s="7"/>
      <c r="I87" s="7"/>
      <c r="J87" s="7"/>
      <c r="K87" s="7"/>
      <c r="L87" s="13"/>
      <c r="M87" s="15"/>
    </row>
    <row r="88" spans="7:13" ht="15" thickBot="1" x14ac:dyDescent="0.35">
      <c r="G88" s="6"/>
      <c r="H88" s="7"/>
      <c r="I88" s="7"/>
      <c r="J88" s="7"/>
      <c r="K88" s="7"/>
      <c r="L88" s="13"/>
      <c r="M88" s="15"/>
    </row>
    <row r="89" spans="7:13" ht="15" thickBot="1" x14ac:dyDescent="0.35">
      <c r="G89" s="6"/>
      <c r="H89" s="7"/>
      <c r="I89" s="7"/>
      <c r="J89" s="7"/>
      <c r="K89" s="7"/>
      <c r="L89" s="13"/>
      <c r="M89" s="15"/>
    </row>
    <row r="90" spans="7:13" ht="15" thickBot="1" x14ac:dyDescent="0.35">
      <c r="G90" s="6"/>
      <c r="H90" s="7"/>
      <c r="I90" s="7"/>
      <c r="J90" s="7"/>
      <c r="K90" s="7"/>
      <c r="L90" s="13"/>
      <c r="M90" s="15"/>
    </row>
    <row r="91" spans="7:13" ht="15" thickBot="1" x14ac:dyDescent="0.35">
      <c r="G91" s="6"/>
      <c r="H91" s="7"/>
      <c r="I91" s="7"/>
      <c r="J91" s="7"/>
      <c r="K91" s="7"/>
      <c r="L91" s="13"/>
      <c r="M91" s="15"/>
    </row>
    <row r="92" spans="7:13" ht="15" thickBot="1" x14ac:dyDescent="0.35">
      <c r="G92" s="6"/>
      <c r="H92" s="7"/>
      <c r="I92" s="7"/>
      <c r="J92" s="7"/>
      <c r="K92" s="7"/>
      <c r="L92" s="13"/>
      <c r="M92" s="15"/>
    </row>
    <row r="93" spans="7:13" ht="15" thickBot="1" x14ac:dyDescent="0.35">
      <c r="G93" s="6"/>
      <c r="H93" s="7"/>
      <c r="I93" s="7"/>
      <c r="J93" s="7"/>
      <c r="K93" s="7"/>
      <c r="L93" s="13"/>
      <c r="M93" s="15"/>
    </row>
    <row r="94" spans="7:13" ht="15" thickBot="1" x14ac:dyDescent="0.35">
      <c r="G94" s="6"/>
      <c r="H94" s="7"/>
      <c r="I94" s="7"/>
      <c r="J94" s="7"/>
      <c r="K94" s="7"/>
      <c r="L94" s="13"/>
      <c r="M94" s="15"/>
    </row>
    <row r="95" spans="7:13" ht="15" thickBot="1" x14ac:dyDescent="0.35">
      <c r="G95" s="6"/>
      <c r="H95" s="7"/>
      <c r="I95" s="7"/>
      <c r="J95" s="7"/>
      <c r="K95" s="7"/>
      <c r="L95" s="13"/>
      <c r="M95" s="15"/>
    </row>
    <row r="96" spans="7:13" ht="15" thickBot="1" x14ac:dyDescent="0.35">
      <c r="G96" s="6"/>
      <c r="H96" s="7"/>
      <c r="I96" s="7"/>
      <c r="J96" s="7"/>
      <c r="K96" s="7"/>
      <c r="L96" s="13"/>
      <c r="M96" s="15"/>
    </row>
    <row r="97" spans="7:13" ht="15" thickBot="1" x14ac:dyDescent="0.35">
      <c r="G97" s="6"/>
      <c r="H97" s="7"/>
      <c r="I97" s="7"/>
      <c r="J97" s="7"/>
      <c r="K97" s="7"/>
      <c r="L97" s="13"/>
      <c r="M97" s="15"/>
    </row>
    <row r="98" spans="7:13" ht="15" thickBot="1" x14ac:dyDescent="0.35">
      <c r="G98" s="6"/>
      <c r="H98" s="7"/>
      <c r="I98" s="7"/>
      <c r="J98" s="7"/>
      <c r="K98" s="7"/>
      <c r="L98" s="13"/>
      <c r="M98" s="15"/>
    </row>
    <row r="99" spans="7:13" ht="15" thickBot="1" x14ac:dyDescent="0.35">
      <c r="G99" s="6"/>
      <c r="H99" s="7"/>
      <c r="I99" s="7"/>
      <c r="J99" s="7"/>
      <c r="K99" s="7"/>
      <c r="L99" s="13"/>
      <c r="M99" s="15"/>
    </row>
    <row r="100" spans="7:13" ht="15" thickBot="1" x14ac:dyDescent="0.35">
      <c r="G100" s="6"/>
      <c r="H100" s="7"/>
      <c r="I100" s="7"/>
      <c r="J100" s="7"/>
      <c r="K100" s="7"/>
      <c r="L100" s="13"/>
      <c r="M100" s="15"/>
    </row>
    <row r="101" spans="7:13" ht="15" thickBot="1" x14ac:dyDescent="0.35">
      <c r="G101" s="6"/>
      <c r="H101" s="7"/>
      <c r="I101" s="7"/>
      <c r="J101" s="7"/>
      <c r="K101" s="7"/>
      <c r="L101" s="13"/>
      <c r="M101" s="15"/>
    </row>
    <row r="102" spans="7:13" ht="15" thickBot="1" x14ac:dyDescent="0.35">
      <c r="G102" s="6"/>
      <c r="H102" s="7"/>
      <c r="I102" s="7"/>
      <c r="J102" s="7"/>
      <c r="K102" s="7"/>
      <c r="L102" s="13"/>
      <c r="M102" s="15"/>
    </row>
    <row r="103" spans="7:13" ht="15" thickBot="1" x14ac:dyDescent="0.35">
      <c r="G103" s="6"/>
      <c r="H103" s="7"/>
      <c r="I103" s="7"/>
      <c r="J103" s="7"/>
      <c r="K103" s="7"/>
      <c r="L103" s="13"/>
      <c r="M103" s="15"/>
    </row>
    <row r="104" spans="7:13" ht="15" thickBot="1" x14ac:dyDescent="0.35">
      <c r="G104" s="6"/>
      <c r="H104" s="7"/>
      <c r="I104" s="7"/>
      <c r="J104" s="7"/>
      <c r="K104" s="7"/>
      <c r="L104" s="13"/>
      <c r="M104" s="15"/>
    </row>
    <row r="105" spans="7:13" ht="15" thickBot="1" x14ac:dyDescent="0.35">
      <c r="G105" s="6"/>
      <c r="H105" s="7"/>
      <c r="I105" s="7"/>
      <c r="J105" s="7"/>
      <c r="K105" s="7"/>
      <c r="L105" s="13"/>
      <c r="M105" s="15"/>
    </row>
    <row r="106" spans="7:13" ht="15" thickBot="1" x14ac:dyDescent="0.35">
      <c r="G106" s="6"/>
      <c r="H106" s="7"/>
      <c r="I106" s="7"/>
      <c r="J106" s="7"/>
      <c r="K106" s="7"/>
      <c r="L106" s="13"/>
      <c r="M106" s="15"/>
    </row>
    <row r="107" spans="7:13" ht="15" thickBot="1" x14ac:dyDescent="0.35">
      <c r="G107" s="6"/>
      <c r="H107" s="7"/>
      <c r="I107" s="7"/>
      <c r="J107" s="7"/>
      <c r="K107" s="7"/>
      <c r="L107" s="13"/>
      <c r="M107" s="15"/>
    </row>
    <row r="108" spans="7:13" ht="15" thickBot="1" x14ac:dyDescent="0.35">
      <c r="G108" s="6"/>
      <c r="H108" s="7"/>
      <c r="I108" s="7"/>
      <c r="J108" s="7"/>
      <c r="K108" s="7"/>
      <c r="L108" s="13"/>
      <c r="M108" s="15"/>
    </row>
    <row r="109" spans="7:13" ht="15" thickBot="1" x14ac:dyDescent="0.35">
      <c r="G109" s="6"/>
      <c r="H109" s="7"/>
      <c r="I109" s="7"/>
      <c r="J109" s="7"/>
      <c r="K109" s="7"/>
      <c r="L109" s="13"/>
      <c r="M109" s="15"/>
    </row>
    <row r="110" spans="7:13" ht="15" thickBot="1" x14ac:dyDescent="0.35">
      <c r="G110" s="6"/>
      <c r="H110" s="7"/>
      <c r="I110" s="7"/>
      <c r="J110" s="7"/>
      <c r="K110" s="7"/>
      <c r="L110" s="13"/>
      <c r="M110" s="15"/>
    </row>
    <row r="111" spans="7:13" ht="15" thickBot="1" x14ac:dyDescent="0.35">
      <c r="G111" s="6"/>
      <c r="H111" s="7"/>
      <c r="I111" s="7"/>
      <c r="J111" s="7"/>
      <c r="K111" s="7"/>
      <c r="L111" s="13"/>
      <c r="M111" s="15"/>
    </row>
    <row r="112" spans="7:13" ht="15" thickBot="1" x14ac:dyDescent="0.35">
      <c r="G112" s="6"/>
      <c r="H112" s="7"/>
      <c r="I112" s="7"/>
      <c r="J112" s="7"/>
      <c r="K112" s="7"/>
      <c r="L112" s="13"/>
      <c r="M112" s="15"/>
    </row>
    <row r="113" spans="7:13" ht="15" thickBot="1" x14ac:dyDescent="0.35">
      <c r="G113" s="6"/>
      <c r="H113" s="7"/>
      <c r="I113" s="7"/>
      <c r="J113" s="7"/>
      <c r="K113" s="7"/>
      <c r="L113" s="13"/>
      <c r="M113" s="15"/>
    </row>
    <row r="114" spans="7:13" ht="15" thickBot="1" x14ac:dyDescent="0.35">
      <c r="G114" s="6"/>
      <c r="H114" s="7"/>
      <c r="I114" s="7"/>
      <c r="J114" s="7"/>
      <c r="K114" s="7"/>
      <c r="L114" s="13"/>
      <c r="M114" s="15"/>
    </row>
    <row r="115" spans="7:13" ht="15" thickBot="1" x14ac:dyDescent="0.35">
      <c r="G115" s="6"/>
      <c r="H115" s="7"/>
      <c r="I115" s="7"/>
      <c r="J115" s="7"/>
      <c r="K115" s="7"/>
      <c r="L115" s="13"/>
      <c r="M115" s="15"/>
    </row>
    <row r="116" spans="7:13" ht="15" thickBot="1" x14ac:dyDescent="0.35">
      <c r="G116" s="6"/>
      <c r="H116" s="7"/>
      <c r="I116" s="7"/>
      <c r="J116" s="7"/>
      <c r="K116" s="7"/>
      <c r="L116" s="13"/>
      <c r="M116" s="15"/>
    </row>
    <row r="117" spans="7:13" ht="15" thickBot="1" x14ac:dyDescent="0.35">
      <c r="G117" s="6"/>
      <c r="H117" s="7"/>
      <c r="I117" s="7"/>
      <c r="J117" s="7"/>
      <c r="K117" s="7"/>
      <c r="L117" s="13"/>
      <c r="M117" s="15"/>
    </row>
    <row r="118" spans="7:13" ht="15" thickBot="1" x14ac:dyDescent="0.35">
      <c r="G118" s="6"/>
      <c r="H118" s="7"/>
      <c r="I118" s="7"/>
      <c r="J118" s="7"/>
      <c r="K118" s="7"/>
      <c r="L118" s="13"/>
      <c r="M118" s="15"/>
    </row>
    <row r="119" spans="7:13" ht="15" thickBot="1" x14ac:dyDescent="0.35">
      <c r="G119" s="6"/>
      <c r="H119" s="7"/>
      <c r="I119" s="7"/>
      <c r="J119" s="7"/>
      <c r="K119" s="7"/>
      <c r="L119" s="13"/>
      <c r="M119" s="15"/>
    </row>
    <row r="120" spans="7:13" ht="15" thickBot="1" x14ac:dyDescent="0.35">
      <c r="G120" s="6"/>
      <c r="H120" s="7"/>
      <c r="I120" s="7"/>
      <c r="J120" s="7"/>
      <c r="K120" s="7"/>
      <c r="L120" s="13"/>
      <c r="M120" s="15"/>
    </row>
    <row r="121" spans="7:13" ht="15" thickBot="1" x14ac:dyDescent="0.35">
      <c r="G121" s="6"/>
      <c r="H121" s="7"/>
      <c r="I121" s="7"/>
      <c r="J121" s="7"/>
      <c r="K121" s="7"/>
      <c r="L121" s="13"/>
      <c r="M121" s="15"/>
    </row>
    <row r="122" spans="7:13" ht="15" thickBot="1" x14ac:dyDescent="0.35">
      <c r="G122" s="6"/>
      <c r="H122" s="7"/>
      <c r="I122" s="7"/>
      <c r="J122" s="7"/>
      <c r="K122" s="7"/>
      <c r="L122" s="13"/>
      <c r="M122" s="15"/>
    </row>
    <row r="123" spans="7:13" ht="15" thickBot="1" x14ac:dyDescent="0.35">
      <c r="G123" s="6"/>
      <c r="H123" s="7"/>
      <c r="I123" s="7"/>
      <c r="J123" s="7"/>
      <c r="K123" s="7"/>
      <c r="L123" s="13"/>
      <c r="M123" s="15"/>
    </row>
    <row r="124" spans="7:13" ht="15" thickBot="1" x14ac:dyDescent="0.35">
      <c r="G124" s="6"/>
      <c r="H124" s="7"/>
      <c r="I124" s="7"/>
      <c r="J124" s="7"/>
      <c r="K124" s="7"/>
      <c r="L124" s="13"/>
      <c r="M124" s="15"/>
    </row>
    <row r="125" spans="7:13" ht="15" thickBot="1" x14ac:dyDescent="0.35">
      <c r="G125" s="6"/>
      <c r="H125" s="7"/>
      <c r="I125" s="7"/>
      <c r="J125" s="7"/>
      <c r="K125" s="7"/>
      <c r="L125" s="13"/>
      <c r="M125" s="15"/>
    </row>
    <row r="126" spans="7:13" ht="15" thickBot="1" x14ac:dyDescent="0.35">
      <c r="G126" s="6"/>
      <c r="H126" s="7"/>
      <c r="I126" s="7"/>
      <c r="J126" s="7"/>
      <c r="K126" s="7"/>
      <c r="L126" s="13"/>
      <c r="M126" s="15"/>
    </row>
    <row r="127" spans="7:13" ht="15" thickBot="1" x14ac:dyDescent="0.35">
      <c r="G127" s="6"/>
      <c r="H127" s="7"/>
      <c r="I127" s="7"/>
      <c r="J127" s="7"/>
      <c r="K127" s="7"/>
      <c r="L127" s="13"/>
      <c r="M127" s="15"/>
    </row>
    <row r="128" spans="7:13" ht="15" thickBot="1" x14ac:dyDescent="0.35">
      <c r="G128" s="6"/>
      <c r="H128" s="7"/>
      <c r="I128" s="7"/>
      <c r="J128" s="7"/>
      <c r="K128" s="7"/>
      <c r="L128" s="13"/>
      <c r="M128" s="15"/>
    </row>
    <row r="129" spans="7:13" ht="15" thickBot="1" x14ac:dyDescent="0.35">
      <c r="G129" s="6"/>
      <c r="H129" s="7"/>
      <c r="I129" s="7"/>
      <c r="J129" s="7"/>
      <c r="K129" s="7"/>
      <c r="L129" s="13"/>
      <c r="M129" s="15"/>
    </row>
    <row r="130" spans="7:13" ht="15" thickBot="1" x14ac:dyDescent="0.35">
      <c r="G130" s="6"/>
      <c r="H130" s="7"/>
      <c r="I130" s="7"/>
      <c r="J130" s="7"/>
      <c r="K130" s="7"/>
      <c r="L130" s="13"/>
      <c r="M130" s="15"/>
    </row>
    <row r="131" spans="7:13" ht="15" thickBot="1" x14ac:dyDescent="0.35">
      <c r="G131" s="6"/>
      <c r="H131" s="7"/>
      <c r="I131" s="7"/>
      <c r="J131" s="7"/>
      <c r="K131" s="7"/>
      <c r="L131" s="13"/>
      <c r="M131" s="15"/>
    </row>
    <row r="132" spans="7:13" ht="15" thickBot="1" x14ac:dyDescent="0.35">
      <c r="G132" s="6"/>
      <c r="H132" s="7"/>
      <c r="I132" s="7"/>
      <c r="J132" s="7"/>
      <c r="K132" s="7"/>
      <c r="L132" s="13"/>
      <c r="M132" s="15"/>
    </row>
    <row r="133" spans="7:13" ht="15" thickBot="1" x14ac:dyDescent="0.35">
      <c r="G133" s="6"/>
      <c r="H133" s="7"/>
      <c r="I133" s="7"/>
      <c r="J133" s="7"/>
      <c r="K133" s="7"/>
      <c r="L133" s="13"/>
      <c r="M133" s="15"/>
    </row>
    <row r="134" spans="7:13" ht="15" thickBot="1" x14ac:dyDescent="0.35">
      <c r="G134" s="6"/>
      <c r="H134" s="7"/>
      <c r="I134" s="7"/>
      <c r="J134" s="7"/>
      <c r="K134" s="7"/>
      <c r="L134" s="13"/>
      <c r="M134" s="15"/>
    </row>
    <row r="135" spans="7:13" ht="15" thickBot="1" x14ac:dyDescent="0.35">
      <c r="G135" s="6"/>
      <c r="H135" s="7"/>
      <c r="I135" s="7"/>
      <c r="J135" s="7"/>
      <c r="K135" s="7"/>
      <c r="L135" s="13"/>
      <c r="M135" s="15"/>
    </row>
    <row r="136" spans="7:13" ht="15" thickBot="1" x14ac:dyDescent="0.35">
      <c r="G136" s="6"/>
      <c r="H136" s="7"/>
      <c r="I136" s="7"/>
      <c r="J136" s="7"/>
      <c r="K136" s="7"/>
      <c r="L136" s="13"/>
      <c r="M136" s="15"/>
    </row>
    <row r="137" spans="7:13" ht="15" thickBot="1" x14ac:dyDescent="0.35">
      <c r="G137" s="6"/>
      <c r="H137" s="7"/>
      <c r="I137" s="7"/>
      <c r="J137" s="7"/>
      <c r="K137" s="7"/>
      <c r="L137" s="13"/>
      <c r="M137" s="15"/>
    </row>
    <row r="138" spans="7:13" ht="15" thickBot="1" x14ac:dyDescent="0.35">
      <c r="G138" s="6"/>
      <c r="H138" s="7"/>
      <c r="I138" s="7"/>
      <c r="J138" s="7"/>
      <c r="K138" s="7"/>
      <c r="L138" s="13"/>
      <c r="M138" s="15"/>
    </row>
    <row r="139" spans="7:13" ht="15" thickBot="1" x14ac:dyDescent="0.35">
      <c r="G139" s="6"/>
      <c r="H139" s="7"/>
      <c r="I139" s="7"/>
      <c r="J139" s="7"/>
      <c r="K139" s="7"/>
      <c r="L139" s="13"/>
      <c r="M139" s="15"/>
    </row>
    <row r="140" spans="7:13" ht="15" thickBot="1" x14ac:dyDescent="0.35">
      <c r="G140" s="6"/>
      <c r="H140" s="7"/>
      <c r="I140" s="7"/>
      <c r="J140" s="7"/>
      <c r="K140" s="7"/>
      <c r="L140" s="13"/>
      <c r="M140" s="15"/>
    </row>
    <row r="141" spans="7:13" ht="15" thickBot="1" x14ac:dyDescent="0.35">
      <c r="G141" s="6"/>
      <c r="H141" s="7"/>
      <c r="I141" s="7"/>
      <c r="J141" s="7"/>
      <c r="K141" s="7"/>
      <c r="L141" s="13"/>
      <c r="M141" s="15"/>
    </row>
    <row r="142" spans="7:13" ht="15" thickBot="1" x14ac:dyDescent="0.35">
      <c r="G142" s="6"/>
      <c r="H142" s="7"/>
      <c r="I142" s="7"/>
      <c r="J142" s="7"/>
      <c r="K142" s="7"/>
      <c r="L142" s="13"/>
      <c r="M142" s="15"/>
    </row>
    <row r="143" spans="7:13" ht="15" thickBot="1" x14ac:dyDescent="0.35">
      <c r="G143" s="6"/>
      <c r="H143" s="7"/>
      <c r="I143" s="7"/>
      <c r="J143" s="7"/>
      <c r="K143" s="7"/>
      <c r="L143" s="13"/>
      <c r="M143" s="15"/>
    </row>
    <row r="144" spans="7:13" ht="15" thickBot="1" x14ac:dyDescent="0.35">
      <c r="G144" s="6"/>
      <c r="H144" s="7"/>
      <c r="I144" s="7"/>
      <c r="J144" s="7"/>
      <c r="K144" s="7"/>
      <c r="L144" s="13"/>
      <c r="M144" s="15"/>
    </row>
    <row r="145" spans="7:13" ht="15" thickBot="1" x14ac:dyDescent="0.35">
      <c r="G145" s="6"/>
      <c r="H145" s="7"/>
      <c r="I145" s="7"/>
      <c r="J145" s="7"/>
      <c r="K145" s="7"/>
      <c r="L145" s="13"/>
      <c r="M145" s="15"/>
    </row>
    <row r="146" spans="7:13" ht="15" thickBot="1" x14ac:dyDescent="0.35">
      <c r="G146" s="6"/>
      <c r="H146" s="7"/>
      <c r="I146" s="7"/>
      <c r="J146" s="7"/>
      <c r="K146" s="7"/>
      <c r="L146" s="13"/>
      <c r="M146" s="15"/>
    </row>
    <row r="147" spans="7:13" ht="15" thickBot="1" x14ac:dyDescent="0.35">
      <c r="G147" s="6"/>
      <c r="H147" s="7"/>
      <c r="I147" s="7"/>
      <c r="J147" s="7"/>
      <c r="K147" s="7"/>
      <c r="L147" s="13"/>
      <c r="M147" s="15"/>
    </row>
    <row r="148" spans="7:13" ht="15" thickBot="1" x14ac:dyDescent="0.35">
      <c r="G148" s="6"/>
      <c r="H148" s="7"/>
      <c r="I148" s="7"/>
      <c r="J148" s="7"/>
      <c r="K148" s="7"/>
      <c r="L148" s="13"/>
      <c r="M148" s="15"/>
    </row>
    <row r="149" spans="7:13" ht="15" thickBot="1" x14ac:dyDescent="0.35">
      <c r="G149" s="6"/>
      <c r="H149" s="7"/>
      <c r="I149" s="7"/>
      <c r="J149" s="7"/>
      <c r="K149" s="7"/>
      <c r="L149" s="13"/>
      <c r="M149" s="15"/>
    </row>
    <row r="150" spans="7:13" ht="15" thickBot="1" x14ac:dyDescent="0.35">
      <c r="G150" s="6"/>
      <c r="H150" s="7"/>
      <c r="I150" s="7"/>
      <c r="J150" s="7"/>
      <c r="K150" s="7"/>
      <c r="L150" s="13"/>
      <c r="M150" s="15"/>
    </row>
    <row r="151" spans="7:13" ht="15" thickBot="1" x14ac:dyDescent="0.35">
      <c r="G151" s="6"/>
      <c r="H151" s="7"/>
      <c r="I151" s="7"/>
      <c r="J151" s="7"/>
      <c r="K151" s="7"/>
      <c r="L151" s="13"/>
      <c r="M151" s="15"/>
    </row>
    <row r="152" spans="7:13" ht="15" thickBot="1" x14ac:dyDescent="0.35">
      <c r="G152" s="6"/>
      <c r="H152" s="7"/>
      <c r="I152" s="7"/>
      <c r="J152" s="7"/>
      <c r="K152" s="7"/>
      <c r="L152" s="13"/>
      <c r="M152" s="15"/>
    </row>
    <row r="153" spans="7:13" ht="15" thickBot="1" x14ac:dyDescent="0.35">
      <c r="G153" s="6"/>
      <c r="H153" s="7"/>
      <c r="I153" s="7"/>
      <c r="J153" s="7"/>
      <c r="K153" s="7"/>
      <c r="L153" s="13"/>
      <c r="M153" s="15"/>
    </row>
    <row r="154" spans="7:13" ht="15" thickBot="1" x14ac:dyDescent="0.35">
      <c r="G154" s="6"/>
      <c r="H154" s="7"/>
      <c r="I154" s="7"/>
      <c r="J154" s="7"/>
      <c r="K154" s="7"/>
      <c r="L154" s="13"/>
      <c r="M154" s="15"/>
    </row>
    <row r="155" spans="7:13" ht="15" thickBot="1" x14ac:dyDescent="0.35">
      <c r="G155" s="6"/>
      <c r="H155" s="7"/>
      <c r="I155" s="7"/>
      <c r="J155" s="7"/>
      <c r="K155" s="7"/>
      <c r="L155" s="13"/>
      <c r="M155" s="15"/>
    </row>
    <row r="156" spans="7:13" ht="15" thickBot="1" x14ac:dyDescent="0.35">
      <c r="G156" s="6"/>
      <c r="H156" s="7"/>
      <c r="I156" s="7"/>
      <c r="J156" s="7"/>
      <c r="K156" s="7"/>
      <c r="L156" s="13"/>
      <c r="M156" s="15"/>
    </row>
    <row r="157" spans="7:13" ht="15" thickBot="1" x14ac:dyDescent="0.35">
      <c r="G157" s="6"/>
      <c r="H157" s="7"/>
      <c r="I157" s="7"/>
      <c r="J157" s="7"/>
      <c r="K157" s="7"/>
      <c r="L157" s="13"/>
      <c r="M157" s="15"/>
    </row>
    <row r="158" spans="7:13" ht="15" thickBot="1" x14ac:dyDescent="0.35">
      <c r="G158" s="6"/>
      <c r="H158" s="7"/>
      <c r="I158" s="7"/>
      <c r="J158" s="7"/>
      <c r="K158" s="7"/>
      <c r="L158" s="13"/>
      <c r="M158" s="15"/>
    </row>
    <row r="159" spans="7:13" ht="15" thickBot="1" x14ac:dyDescent="0.35">
      <c r="G159" s="6"/>
      <c r="H159" s="7"/>
      <c r="I159" s="7"/>
      <c r="J159" s="7"/>
      <c r="K159" s="7"/>
      <c r="L159" s="13"/>
      <c r="M159" s="15"/>
    </row>
    <row r="160" spans="7:13" ht="15" thickBot="1" x14ac:dyDescent="0.35">
      <c r="G160" s="6"/>
      <c r="H160" s="7"/>
      <c r="I160" s="7"/>
      <c r="J160" s="7"/>
      <c r="K160" s="7"/>
      <c r="L160" s="13"/>
      <c r="M160" s="15"/>
    </row>
    <row r="161" spans="7:13" ht="15" thickBot="1" x14ac:dyDescent="0.35">
      <c r="G161" s="6"/>
      <c r="H161" s="7"/>
      <c r="I161" s="7"/>
      <c r="J161" s="7"/>
      <c r="K161" s="7"/>
      <c r="L161" s="13"/>
      <c r="M161" s="15"/>
    </row>
    <row r="162" spans="7:13" ht="15" thickBot="1" x14ac:dyDescent="0.35">
      <c r="G162" s="6"/>
      <c r="H162" s="7"/>
      <c r="I162" s="7"/>
      <c r="J162" s="7"/>
      <c r="K162" s="7"/>
      <c r="L162" s="13"/>
      <c r="M162" s="15"/>
    </row>
    <row r="163" spans="7:13" ht="15" thickBot="1" x14ac:dyDescent="0.35">
      <c r="G163" s="6"/>
      <c r="H163" s="7"/>
      <c r="I163" s="7"/>
      <c r="J163" s="7"/>
      <c r="K163" s="7"/>
      <c r="L163" s="13"/>
      <c r="M163" s="15"/>
    </row>
    <row r="164" spans="7:13" ht="15" thickBot="1" x14ac:dyDescent="0.35">
      <c r="G164" s="6"/>
      <c r="H164" s="7"/>
      <c r="I164" s="7"/>
      <c r="J164" s="7"/>
      <c r="K164" s="7"/>
      <c r="L164" s="13"/>
      <c r="M164" s="15"/>
    </row>
    <row r="165" spans="7:13" ht="15" thickBot="1" x14ac:dyDescent="0.35">
      <c r="G165" s="6"/>
      <c r="H165" s="7"/>
      <c r="I165" s="7"/>
      <c r="J165" s="7"/>
      <c r="K165" s="7"/>
      <c r="L165" s="13"/>
      <c r="M165" s="15"/>
    </row>
    <row r="166" spans="7:13" ht="15" thickBot="1" x14ac:dyDescent="0.35">
      <c r="G166" s="6"/>
      <c r="H166" s="7"/>
      <c r="I166" s="7"/>
      <c r="J166" s="7"/>
      <c r="K166" s="7"/>
      <c r="L166" s="13"/>
      <c r="M166" s="15"/>
    </row>
    <row r="167" spans="7:13" ht="15" thickBot="1" x14ac:dyDescent="0.35">
      <c r="G167" s="6"/>
      <c r="H167" s="7"/>
      <c r="I167" s="7"/>
      <c r="J167" s="7"/>
      <c r="K167" s="7"/>
      <c r="L167" s="13"/>
      <c r="M167" s="15"/>
    </row>
    <row r="168" spans="7:13" ht="15" thickBot="1" x14ac:dyDescent="0.35">
      <c r="G168" s="6"/>
      <c r="H168" s="7"/>
      <c r="I168" s="7"/>
      <c r="J168" s="7"/>
      <c r="K168" s="7"/>
      <c r="L168" s="13"/>
      <c r="M168" s="15"/>
    </row>
    <row r="169" spans="7:13" ht="15" thickBot="1" x14ac:dyDescent="0.35">
      <c r="G169" s="6"/>
      <c r="H169" s="7"/>
      <c r="I169" s="7"/>
      <c r="J169" s="7"/>
      <c r="K169" s="7"/>
      <c r="L169" s="13"/>
      <c r="M169" s="15"/>
    </row>
    <row r="170" spans="7:13" ht="15" thickBot="1" x14ac:dyDescent="0.35">
      <c r="G170" s="6"/>
      <c r="H170" s="7"/>
      <c r="I170" s="7"/>
      <c r="J170" s="7"/>
      <c r="K170" s="7"/>
      <c r="L170" s="13"/>
      <c r="M170" s="15"/>
    </row>
    <row r="171" spans="7:13" ht="15" thickBot="1" x14ac:dyDescent="0.35">
      <c r="G171" s="6"/>
      <c r="H171" s="7"/>
      <c r="I171" s="7"/>
      <c r="J171" s="7"/>
      <c r="K171" s="7"/>
      <c r="L171" s="13"/>
      <c r="M171" s="15"/>
    </row>
    <row r="172" spans="7:13" ht="15" thickBot="1" x14ac:dyDescent="0.35">
      <c r="G172" s="6"/>
      <c r="H172" s="7"/>
      <c r="I172" s="7"/>
      <c r="J172" s="7"/>
      <c r="K172" s="7"/>
      <c r="L172" s="13"/>
      <c r="M172" s="15"/>
    </row>
    <row r="173" spans="7:13" ht="15" thickBot="1" x14ac:dyDescent="0.35">
      <c r="G173" s="6"/>
      <c r="H173" s="7"/>
      <c r="I173" s="7"/>
      <c r="J173" s="7"/>
      <c r="K173" s="7"/>
      <c r="L173" s="13"/>
      <c r="M173" s="15"/>
    </row>
    <row r="174" spans="7:13" ht="15" thickBot="1" x14ac:dyDescent="0.35">
      <c r="G174" s="6"/>
      <c r="H174" s="7"/>
      <c r="I174" s="7"/>
      <c r="J174" s="7"/>
      <c r="K174" s="7"/>
      <c r="L174" s="13"/>
      <c r="M174" s="15"/>
    </row>
    <row r="175" spans="7:13" ht="15" thickBot="1" x14ac:dyDescent="0.35">
      <c r="G175" s="6"/>
      <c r="H175" s="7"/>
      <c r="I175" s="7"/>
      <c r="J175" s="7"/>
      <c r="K175" s="7"/>
      <c r="L175" s="13"/>
      <c r="M175" s="15"/>
    </row>
    <row r="176" spans="7:13" ht="15" thickBot="1" x14ac:dyDescent="0.35">
      <c r="G176" s="6"/>
      <c r="H176" s="7"/>
      <c r="I176" s="7"/>
      <c r="J176" s="7"/>
      <c r="K176" s="7"/>
      <c r="L176" s="13"/>
      <c r="M176" s="15"/>
    </row>
    <row r="177" spans="7:13" ht="15" thickBot="1" x14ac:dyDescent="0.35">
      <c r="G177" s="6"/>
      <c r="H177" s="7"/>
      <c r="I177" s="7"/>
      <c r="J177" s="7"/>
      <c r="K177" s="7"/>
      <c r="L177" s="13"/>
      <c r="M177" s="15"/>
    </row>
    <row r="178" spans="7:13" ht="15" thickBot="1" x14ac:dyDescent="0.35">
      <c r="G178" s="6"/>
      <c r="H178" s="7"/>
      <c r="I178" s="7"/>
      <c r="J178" s="7"/>
      <c r="K178" s="7"/>
      <c r="L178" s="13"/>
      <c r="M178" s="15"/>
    </row>
    <row r="179" spans="7:13" ht="15" thickBot="1" x14ac:dyDescent="0.35">
      <c r="G179" s="6"/>
      <c r="H179" s="7"/>
      <c r="I179" s="7"/>
      <c r="J179" s="7"/>
      <c r="K179" s="7"/>
      <c r="L179" s="13"/>
      <c r="M179" s="15"/>
    </row>
    <row r="180" spans="7:13" ht="15" thickBot="1" x14ac:dyDescent="0.35">
      <c r="G180" s="6"/>
      <c r="H180" s="7"/>
      <c r="I180" s="7"/>
      <c r="J180" s="7"/>
      <c r="K180" s="7"/>
      <c r="L180" s="13"/>
      <c r="M180" s="15"/>
    </row>
    <row r="181" spans="7:13" ht="15" thickBot="1" x14ac:dyDescent="0.35">
      <c r="G181" s="6"/>
      <c r="H181" s="7"/>
      <c r="I181" s="7"/>
      <c r="J181" s="7"/>
      <c r="K181" s="7"/>
      <c r="L181" s="13"/>
      <c r="M181" s="15"/>
    </row>
    <row r="182" spans="7:13" ht="15" thickBot="1" x14ac:dyDescent="0.35">
      <c r="G182" s="6"/>
      <c r="H182" s="7"/>
      <c r="I182" s="7"/>
      <c r="J182" s="7"/>
      <c r="K182" s="7"/>
      <c r="L182" s="13"/>
      <c r="M182" s="15"/>
    </row>
    <row r="183" spans="7:13" ht="15" thickBot="1" x14ac:dyDescent="0.35">
      <c r="G183" s="6"/>
      <c r="H183" s="7"/>
      <c r="I183" s="7"/>
      <c r="J183" s="7"/>
      <c r="K183" s="7"/>
      <c r="L183" s="13"/>
      <c r="M183" s="15"/>
    </row>
    <row r="184" spans="7:13" ht="15" thickBot="1" x14ac:dyDescent="0.35">
      <c r="G184" s="6"/>
      <c r="H184" s="7"/>
      <c r="I184" s="7"/>
      <c r="J184" s="7"/>
      <c r="K184" s="7"/>
      <c r="L184" s="13"/>
      <c r="M184" s="15"/>
    </row>
    <row r="185" spans="7:13" ht="15" thickBot="1" x14ac:dyDescent="0.35">
      <c r="G185" s="6"/>
      <c r="H185" s="7"/>
      <c r="I185" s="7"/>
      <c r="J185" s="7"/>
      <c r="K185" s="7"/>
      <c r="L185" s="13"/>
      <c r="M185" s="15"/>
    </row>
    <row r="186" spans="7:13" ht="15" thickBot="1" x14ac:dyDescent="0.35">
      <c r="G186" s="6"/>
      <c r="H186" s="7"/>
      <c r="I186" s="7"/>
      <c r="J186" s="7"/>
      <c r="K186" s="7"/>
      <c r="L186" s="13"/>
      <c r="M186" s="15"/>
    </row>
    <row r="187" spans="7:13" ht="15" thickBot="1" x14ac:dyDescent="0.35">
      <c r="G187" s="6"/>
      <c r="H187" s="7"/>
      <c r="I187" s="7"/>
      <c r="J187" s="7"/>
      <c r="K187" s="7"/>
      <c r="L187" s="13"/>
      <c r="M187" s="15"/>
    </row>
    <row r="188" spans="7:13" ht="15" thickBot="1" x14ac:dyDescent="0.35">
      <c r="G188" s="6"/>
      <c r="H188" s="7"/>
      <c r="I188" s="7"/>
      <c r="J188" s="7"/>
      <c r="K188" s="7"/>
      <c r="L188" s="13"/>
      <c r="M188" s="15"/>
    </row>
    <row r="189" spans="7:13" ht="15" thickBot="1" x14ac:dyDescent="0.35">
      <c r="G189" s="6"/>
      <c r="H189" s="7"/>
      <c r="I189" s="7"/>
      <c r="J189" s="7"/>
      <c r="K189" s="7"/>
      <c r="L189" s="13"/>
      <c r="M189" s="15"/>
    </row>
    <row r="190" spans="7:13" ht="15" thickBot="1" x14ac:dyDescent="0.35">
      <c r="G190" s="6"/>
      <c r="H190" s="7"/>
      <c r="I190" s="7"/>
      <c r="J190" s="7"/>
      <c r="K190" s="7"/>
      <c r="L190" s="13"/>
      <c r="M190" s="15"/>
    </row>
    <row r="191" spans="7:13" ht="15" thickBot="1" x14ac:dyDescent="0.35">
      <c r="G191" s="6"/>
      <c r="H191" s="7"/>
      <c r="I191" s="7"/>
      <c r="J191" s="7"/>
      <c r="K191" s="7"/>
      <c r="L191" s="13"/>
      <c r="M191" s="15"/>
    </row>
    <row r="192" spans="7:13" ht="15" thickBot="1" x14ac:dyDescent="0.35">
      <c r="G192" s="6"/>
      <c r="H192" s="7"/>
      <c r="I192" s="7"/>
      <c r="J192" s="7"/>
      <c r="K192" s="7"/>
      <c r="L192" s="13"/>
      <c r="M192" s="15"/>
    </row>
    <row r="193" spans="7:13" ht="15" thickBot="1" x14ac:dyDescent="0.35">
      <c r="G193" s="6"/>
      <c r="H193" s="7"/>
      <c r="I193" s="7"/>
      <c r="J193" s="7"/>
      <c r="K193" s="7"/>
      <c r="L193" s="13"/>
      <c r="M193" s="15"/>
    </row>
    <row r="194" spans="7:13" ht="15" thickBot="1" x14ac:dyDescent="0.35">
      <c r="G194" s="6"/>
      <c r="H194" s="7"/>
      <c r="I194" s="7"/>
      <c r="J194" s="7"/>
      <c r="K194" s="7"/>
      <c r="L194" s="13"/>
      <c r="M194" s="15"/>
    </row>
    <row r="195" spans="7:13" ht="15" thickBot="1" x14ac:dyDescent="0.35">
      <c r="G195" s="6"/>
      <c r="H195" s="7"/>
      <c r="I195" s="7"/>
      <c r="J195" s="7"/>
      <c r="K195" s="7"/>
      <c r="L195" s="13"/>
      <c r="M195" s="15"/>
    </row>
    <row r="196" spans="7:13" ht="15" thickBot="1" x14ac:dyDescent="0.35">
      <c r="G196" s="6"/>
      <c r="H196" s="7"/>
      <c r="I196" s="7"/>
      <c r="J196" s="7"/>
      <c r="K196" s="7"/>
      <c r="L196" s="13"/>
      <c r="M196" s="15"/>
    </row>
    <row r="197" spans="7:13" ht="15" thickBot="1" x14ac:dyDescent="0.35">
      <c r="G197" s="6"/>
      <c r="H197" s="7"/>
      <c r="I197" s="7"/>
      <c r="J197" s="7"/>
      <c r="K197" s="7"/>
      <c r="L197" s="13"/>
      <c r="M197" s="15"/>
    </row>
    <row r="198" spans="7:13" ht="15" thickBot="1" x14ac:dyDescent="0.35">
      <c r="G198" s="6"/>
      <c r="H198" s="7"/>
      <c r="I198" s="7"/>
      <c r="J198" s="7"/>
      <c r="K198" s="7"/>
      <c r="L198" s="13"/>
      <c r="M198" s="15"/>
    </row>
    <row r="199" spans="7:13" ht="15" thickBot="1" x14ac:dyDescent="0.35">
      <c r="G199" s="6"/>
      <c r="H199" s="7"/>
      <c r="I199" s="7"/>
      <c r="J199" s="7"/>
      <c r="K199" s="7"/>
      <c r="L199" s="13"/>
      <c r="M199" s="15"/>
    </row>
    <row r="200" spans="7:13" ht="15" thickBot="1" x14ac:dyDescent="0.35">
      <c r="G200" s="6"/>
      <c r="H200" s="7"/>
      <c r="I200" s="7"/>
      <c r="J200" s="7"/>
      <c r="K200" s="7"/>
      <c r="L200" s="13"/>
      <c r="M200" s="15"/>
    </row>
    <row r="201" spans="7:13" ht="15" thickBot="1" x14ac:dyDescent="0.35">
      <c r="G201" s="6"/>
      <c r="H201" s="7"/>
      <c r="I201" s="7"/>
      <c r="J201" s="7"/>
      <c r="K201" s="7"/>
      <c r="L201" s="13"/>
      <c r="M201" s="15"/>
    </row>
    <row r="202" spans="7:13" ht="15" thickBot="1" x14ac:dyDescent="0.35">
      <c r="G202" s="6"/>
      <c r="H202" s="7"/>
      <c r="I202" s="7"/>
      <c r="J202" s="7"/>
      <c r="K202" s="7"/>
      <c r="L202" s="13"/>
      <c r="M202" s="15"/>
    </row>
    <row r="203" spans="7:13" ht="15" thickBot="1" x14ac:dyDescent="0.35">
      <c r="G203" s="6"/>
      <c r="H203" s="7"/>
      <c r="I203" s="7"/>
      <c r="J203" s="7"/>
      <c r="K203" s="7"/>
      <c r="L203" s="13"/>
      <c r="M203" s="15"/>
    </row>
    <row r="204" spans="7:13" ht="15" thickBot="1" x14ac:dyDescent="0.35">
      <c r="G204" s="6"/>
      <c r="H204" s="7"/>
      <c r="I204" s="7"/>
      <c r="J204" s="7"/>
      <c r="K204" s="7"/>
      <c r="L204" s="13"/>
      <c r="M204" s="15"/>
    </row>
    <row r="205" spans="7:13" ht="15" thickBot="1" x14ac:dyDescent="0.35">
      <c r="G205" s="6"/>
      <c r="H205" s="7"/>
      <c r="I205" s="7"/>
      <c r="J205" s="7"/>
      <c r="K205" s="7"/>
      <c r="L205" s="13"/>
      <c r="M205" s="15"/>
    </row>
    <row r="206" spans="7:13" ht="15" thickBot="1" x14ac:dyDescent="0.35">
      <c r="G206" s="6"/>
      <c r="H206" s="7"/>
      <c r="I206" s="7"/>
      <c r="J206" s="7"/>
      <c r="K206" s="7"/>
      <c r="L206" s="13"/>
      <c r="M206" s="15"/>
    </row>
    <row r="207" spans="7:13" ht="15" thickBot="1" x14ac:dyDescent="0.35">
      <c r="G207" s="6"/>
      <c r="H207" s="7"/>
      <c r="I207" s="7"/>
      <c r="J207" s="7"/>
      <c r="K207" s="7"/>
      <c r="L207" s="13"/>
      <c r="M207" s="15"/>
    </row>
    <row r="208" spans="7:13" ht="15" thickBot="1" x14ac:dyDescent="0.35">
      <c r="G208" s="6"/>
      <c r="H208" s="7"/>
      <c r="I208" s="7"/>
      <c r="J208" s="7"/>
      <c r="K208" s="7"/>
      <c r="L208" s="13"/>
      <c r="M208" s="15"/>
    </row>
    <row r="209" spans="7:13" ht="15" thickBot="1" x14ac:dyDescent="0.35">
      <c r="G209" s="6"/>
      <c r="H209" s="7"/>
      <c r="I209" s="7"/>
      <c r="J209" s="7"/>
      <c r="K209" s="7"/>
      <c r="L209" s="13"/>
      <c r="M209" s="15"/>
    </row>
    <row r="210" spans="7:13" ht="15" thickBot="1" x14ac:dyDescent="0.35">
      <c r="G210" s="6"/>
      <c r="H210" s="7"/>
      <c r="I210" s="7"/>
      <c r="J210" s="7"/>
      <c r="K210" s="7"/>
      <c r="L210" s="13"/>
      <c r="M210" s="15"/>
    </row>
    <row r="211" spans="7:13" ht="15" thickBot="1" x14ac:dyDescent="0.35">
      <c r="G211" s="6"/>
      <c r="H211" s="7"/>
      <c r="I211" s="7"/>
      <c r="J211" s="7"/>
      <c r="K211" s="7"/>
      <c r="L211" s="13"/>
      <c r="M211" s="15"/>
    </row>
    <row r="212" spans="7:13" ht="15" thickBot="1" x14ac:dyDescent="0.35">
      <c r="G212" s="6"/>
      <c r="H212" s="7"/>
      <c r="I212" s="7"/>
      <c r="J212" s="7"/>
      <c r="K212" s="7"/>
      <c r="L212" s="13"/>
      <c r="M212" s="15"/>
    </row>
    <row r="213" spans="7:13" ht="15" thickBot="1" x14ac:dyDescent="0.35">
      <c r="G213" s="6"/>
      <c r="H213" s="7"/>
      <c r="I213" s="7"/>
      <c r="J213" s="7"/>
      <c r="K213" s="7"/>
      <c r="L213" s="13"/>
      <c r="M213" s="15"/>
    </row>
    <row r="214" spans="7:13" ht="15" thickBot="1" x14ac:dyDescent="0.35">
      <c r="G214" s="6"/>
      <c r="H214" s="7"/>
      <c r="I214" s="7"/>
      <c r="J214" s="7"/>
      <c r="K214" s="7"/>
      <c r="L214" s="13"/>
      <c r="M214" s="15"/>
    </row>
    <row r="215" spans="7:13" ht="15" thickBot="1" x14ac:dyDescent="0.35">
      <c r="G215" s="6"/>
      <c r="H215" s="7"/>
      <c r="I215" s="7"/>
      <c r="J215" s="7"/>
      <c r="K215" s="7"/>
      <c r="L215" s="13"/>
      <c r="M215" s="15"/>
    </row>
    <row r="216" spans="7:13" ht="15" thickBot="1" x14ac:dyDescent="0.35">
      <c r="G216" s="6"/>
      <c r="H216" s="7"/>
      <c r="I216" s="7"/>
      <c r="J216" s="7"/>
      <c r="K216" s="7"/>
      <c r="L216" s="13"/>
      <c r="M216" s="15"/>
    </row>
    <row r="217" spans="7:13" ht="15" thickBot="1" x14ac:dyDescent="0.35">
      <c r="G217" s="6"/>
      <c r="H217" s="7"/>
      <c r="I217" s="7"/>
      <c r="J217" s="7"/>
      <c r="K217" s="7"/>
      <c r="L217" s="13"/>
      <c r="M217" s="15"/>
    </row>
    <row r="218" spans="7:13" ht="15" thickBot="1" x14ac:dyDescent="0.35">
      <c r="G218" s="6"/>
      <c r="H218" s="7"/>
      <c r="I218" s="7"/>
      <c r="J218" s="7"/>
      <c r="K218" s="7"/>
      <c r="L218" s="13"/>
      <c r="M218" s="15"/>
    </row>
    <row r="219" spans="7:13" ht="15" thickBot="1" x14ac:dyDescent="0.35">
      <c r="G219" s="6"/>
      <c r="H219" s="7"/>
      <c r="I219" s="7"/>
      <c r="J219" s="7"/>
      <c r="K219" s="7"/>
      <c r="L219" s="13"/>
      <c r="M219" s="15"/>
    </row>
    <row r="220" spans="7:13" ht="15" thickBot="1" x14ac:dyDescent="0.35">
      <c r="G220" s="6"/>
      <c r="H220" s="7"/>
      <c r="I220" s="7"/>
      <c r="J220" s="7"/>
      <c r="K220" s="7"/>
      <c r="L220" s="13"/>
      <c r="M220" s="15"/>
    </row>
    <row r="221" spans="7:13" ht="15" thickBot="1" x14ac:dyDescent="0.35">
      <c r="G221" s="6"/>
      <c r="H221" s="7"/>
      <c r="I221" s="7"/>
      <c r="J221" s="7"/>
      <c r="K221" s="7"/>
      <c r="L221" s="13"/>
      <c r="M221" s="15"/>
    </row>
    <row r="222" spans="7:13" ht="15" thickBot="1" x14ac:dyDescent="0.35">
      <c r="G222" s="6"/>
      <c r="H222" s="7"/>
      <c r="I222" s="7"/>
      <c r="J222" s="7"/>
      <c r="K222" s="7"/>
      <c r="L222" s="13"/>
      <c r="M222" s="15"/>
    </row>
    <row r="223" spans="7:13" ht="15" thickBot="1" x14ac:dyDescent="0.35">
      <c r="G223" s="6"/>
      <c r="H223" s="7"/>
      <c r="I223" s="7"/>
      <c r="J223" s="7"/>
      <c r="K223" s="7"/>
      <c r="L223" s="13"/>
      <c r="M223" s="15"/>
    </row>
    <row r="224" spans="7:13" ht="15" thickBot="1" x14ac:dyDescent="0.35">
      <c r="G224" s="6"/>
      <c r="H224" s="7"/>
      <c r="I224" s="7"/>
      <c r="J224" s="7"/>
      <c r="K224" s="7"/>
      <c r="L224" s="13"/>
      <c r="M224" s="15"/>
    </row>
    <row r="225" spans="7:13" ht="15" thickBot="1" x14ac:dyDescent="0.35">
      <c r="G225" s="6"/>
      <c r="H225" s="7"/>
      <c r="I225" s="7"/>
      <c r="J225" s="7"/>
      <c r="K225" s="7"/>
      <c r="L225" s="13"/>
      <c r="M225" s="15"/>
    </row>
    <row r="226" spans="7:13" ht="15" thickBot="1" x14ac:dyDescent="0.35">
      <c r="G226" s="6"/>
      <c r="H226" s="7"/>
      <c r="I226" s="7"/>
      <c r="J226" s="7"/>
      <c r="K226" s="7"/>
      <c r="L226" s="13"/>
      <c r="M226" s="15"/>
    </row>
    <row r="227" spans="7:13" ht="15" thickBot="1" x14ac:dyDescent="0.35">
      <c r="G227" s="6"/>
      <c r="H227" s="7"/>
      <c r="I227" s="7"/>
      <c r="J227" s="7"/>
      <c r="K227" s="7"/>
      <c r="L227" s="13"/>
      <c r="M227" s="15"/>
    </row>
    <row r="228" spans="7:13" ht="15" thickBot="1" x14ac:dyDescent="0.35">
      <c r="G228" s="6"/>
      <c r="H228" s="7"/>
      <c r="I228" s="7"/>
      <c r="J228" s="7"/>
      <c r="K228" s="7"/>
      <c r="L228" s="13"/>
      <c r="M228" s="15"/>
    </row>
    <row r="229" spans="7:13" ht="15" thickBot="1" x14ac:dyDescent="0.35">
      <c r="G229" s="6"/>
      <c r="H229" s="7"/>
      <c r="I229" s="7"/>
      <c r="J229" s="7"/>
      <c r="K229" s="7"/>
      <c r="L229" s="13"/>
      <c r="M229" s="15"/>
    </row>
    <row r="230" spans="7:13" ht="15" thickBot="1" x14ac:dyDescent="0.35">
      <c r="G230" s="6"/>
      <c r="H230" s="7"/>
      <c r="I230" s="7"/>
      <c r="J230" s="7"/>
      <c r="K230" s="7"/>
      <c r="L230" s="13"/>
      <c r="M230" s="15"/>
    </row>
    <row r="231" spans="7:13" ht="15" thickBot="1" x14ac:dyDescent="0.35">
      <c r="G231" s="6"/>
      <c r="H231" s="7"/>
      <c r="I231" s="7"/>
      <c r="J231" s="7"/>
      <c r="K231" s="7"/>
      <c r="L231" s="13"/>
      <c r="M231" s="15"/>
    </row>
    <row r="232" spans="7:13" ht="15" thickBot="1" x14ac:dyDescent="0.35">
      <c r="G232" s="6"/>
      <c r="H232" s="7"/>
      <c r="I232" s="7"/>
      <c r="J232" s="7"/>
      <c r="K232" s="7"/>
      <c r="L232" s="13"/>
      <c r="M232" s="15"/>
    </row>
    <row r="233" spans="7:13" ht="15" thickBot="1" x14ac:dyDescent="0.35">
      <c r="G233" s="6"/>
      <c r="H233" s="7"/>
      <c r="I233" s="7"/>
      <c r="J233" s="7"/>
      <c r="K233" s="7"/>
      <c r="L233" s="13"/>
      <c r="M233" s="15"/>
    </row>
    <row r="234" spans="7:13" ht="15" thickBot="1" x14ac:dyDescent="0.35">
      <c r="G234" s="6"/>
      <c r="H234" s="7"/>
      <c r="I234" s="7"/>
      <c r="J234" s="7"/>
      <c r="K234" s="7"/>
      <c r="L234" s="13"/>
      <c r="M234" s="15"/>
    </row>
    <row r="235" spans="7:13" ht="15" thickBot="1" x14ac:dyDescent="0.35">
      <c r="G235" s="6"/>
      <c r="H235" s="7"/>
      <c r="I235" s="7"/>
      <c r="J235" s="7"/>
      <c r="K235" s="7"/>
      <c r="L235" s="13"/>
      <c r="M235" s="15"/>
    </row>
    <row r="236" spans="7:13" ht="15" thickBot="1" x14ac:dyDescent="0.35">
      <c r="G236" s="6"/>
      <c r="H236" s="7"/>
      <c r="I236" s="7"/>
      <c r="J236" s="7"/>
      <c r="K236" s="7"/>
      <c r="L236" s="13"/>
      <c r="M236" s="15"/>
    </row>
    <row r="237" spans="7:13" ht="15" thickBot="1" x14ac:dyDescent="0.35">
      <c r="G237" s="6"/>
      <c r="H237" s="7"/>
      <c r="I237" s="7"/>
      <c r="J237" s="7"/>
      <c r="K237" s="7"/>
      <c r="L237" s="13"/>
      <c r="M237" s="15"/>
    </row>
    <row r="238" spans="7:13" ht="15" thickBot="1" x14ac:dyDescent="0.35">
      <c r="G238" s="6"/>
      <c r="H238" s="7"/>
      <c r="I238" s="7"/>
      <c r="J238" s="7"/>
      <c r="K238" s="7"/>
      <c r="L238" s="13"/>
      <c r="M238" s="15"/>
    </row>
    <row r="239" spans="7:13" ht="15" thickBot="1" x14ac:dyDescent="0.35">
      <c r="G239" s="6"/>
      <c r="H239" s="7"/>
      <c r="I239" s="7"/>
      <c r="J239" s="7"/>
      <c r="K239" s="7"/>
      <c r="L239" s="13"/>
      <c r="M239" s="15"/>
    </row>
    <row r="240" spans="7:13" ht="15" thickBot="1" x14ac:dyDescent="0.35">
      <c r="G240" s="6"/>
      <c r="H240" s="7"/>
      <c r="I240" s="7"/>
      <c r="J240" s="7"/>
      <c r="K240" s="7"/>
      <c r="L240" s="13"/>
      <c r="M240" s="15"/>
    </row>
    <row r="241" spans="7:13" ht="15" thickBot="1" x14ac:dyDescent="0.35">
      <c r="G241" s="6"/>
      <c r="H241" s="7"/>
      <c r="I241" s="7"/>
      <c r="J241" s="7"/>
      <c r="K241" s="7"/>
      <c r="L241" s="13"/>
      <c r="M241" s="15"/>
    </row>
    <row r="242" spans="7:13" ht="15" thickBot="1" x14ac:dyDescent="0.35">
      <c r="G242" s="6"/>
      <c r="H242" s="7"/>
      <c r="I242" s="7"/>
      <c r="J242" s="7"/>
      <c r="K242" s="7"/>
      <c r="L242" s="13"/>
      <c r="M242" s="15"/>
    </row>
    <row r="243" spans="7:13" ht="15" thickBot="1" x14ac:dyDescent="0.35">
      <c r="G243" s="6"/>
      <c r="H243" s="7"/>
      <c r="I243" s="7"/>
      <c r="J243" s="7"/>
      <c r="K243" s="7"/>
      <c r="L243" s="13"/>
      <c r="M243" s="16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43"/>
  <sheetViews>
    <sheetView workbookViewId="0">
      <selection activeCell="C3" sqref="C3"/>
    </sheetView>
  </sheetViews>
  <sheetFormatPr baseColWidth="10" defaultColWidth="8.88671875" defaultRowHeight="14.4" x14ac:dyDescent="0.3"/>
  <cols>
    <col min="2" max="2" width="23.6640625" customWidth="1"/>
    <col min="3" max="3" width="15.6640625" customWidth="1"/>
    <col min="8" max="8" width="16.5546875" customWidth="1"/>
    <col min="9" max="9" width="13.6640625" customWidth="1"/>
    <col min="10" max="11" width="16.109375" customWidth="1"/>
    <col min="12" max="12" width="16" customWidth="1"/>
    <col min="13" max="13" width="18.88671875" customWidth="1"/>
    <col min="15" max="15" width="13.44140625" customWidth="1"/>
  </cols>
  <sheetData>
    <row r="1" spans="2:15" ht="15" customHeight="1" thickBot="1" x14ac:dyDescent="0.35"/>
    <row r="2" spans="2:15" ht="30.6" customHeight="1" thickBot="1" x14ac:dyDescent="0.35">
      <c r="B2" s="1" t="s">
        <v>0</v>
      </c>
      <c r="C2" s="1" t="s">
        <v>1</v>
      </c>
      <c r="G2" s="5" t="s">
        <v>15</v>
      </c>
      <c r="H2" s="5" t="s">
        <v>16</v>
      </c>
      <c r="I2" s="5" t="s">
        <v>17</v>
      </c>
      <c r="J2" s="5" t="s">
        <v>18</v>
      </c>
      <c r="K2" s="8" t="s">
        <v>14</v>
      </c>
      <c r="L2" s="10" t="s">
        <v>19</v>
      </c>
      <c r="M2" s="11" t="s">
        <v>20</v>
      </c>
    </row>
    <row r="3" spans="2:15" ht="15" thickBot="1" x14ac:dyDescent="0.35">
      <c r="B3" t="s">
        <v>2</v>
      </c>
      <c r="C3">
        <v>380000</v>
      </c>
      <c r="G3" s="6">
        <v>0</v>
      </c>
      <c r="H3" s="6" t="s">
        <v>21</v>
      </c>
      <c r="I3" s="6" t="s">
        <v>21</v>
      </c>
      <c r="J3" s="6" t="s">
        <v>21</v>
      </c>
      <c r="K3" s="6"/>
      <c r="L3" s="12" t="s">
        <v>21</v>
      </c>
      <c r="M3" s="14">
        <f>$C$6</f>
        <v>260000</v>
      </c>
    </row>
    <row r="4" spans="2:15" ht="15" thickBot="1" x14ac:dyDescent="0.35">
      <c r="B4" t="s">
        <v>3</v>
      </c>
      <c r="C4">
        <f>C5/C3</f>
        <v>0.31578947368421051</v>
      </c>
      <c r="G4" s="6">
        <v>1</v>
      </c>
      <c r="H4" s="7">
        <f>$C$13</f>
        <v>2314.738696384929</v>
      </c>
      <c r="I4" s="7">
        <f t="shared" ref="I4:I35" si="0">M3*$C$8</f>
        <v>1678.9042994090141</v>
      </c>
      <c r="J4" s="7">
        <f>H4-I4-L4+K4</f>
        <v>452.01439697591485</v>
      </c>
      <c r="K4" s="7"/>
      <c r="L4" s="13">
        <v>183.82</v>
      </c>
      <c r="M4" s="15">
        <f>M3-J4</f>
        <v>259547.98560302408</v>
      </c>
    </row>
    <row r="5" spans="2:15" ht="15" thickBot="1" x14ac:dyDescent="0.35">
      <c r="B5" t="s">
        <v>4</v>
      </c>
      <c r="C5">
        <v>120000</v>
      </c>
      <c r="G5" s="6">
        <v>2</v>
      </c>
      <c r="H5" s="7">
        <f t="shared" ref="H5:H68" si="1">$C$13</f>
        <v>2314.738696384929</v>
      </c>
      <c r="I5" s="7">
        <f t="shared" si="0"/>
        <v>1675.9854958917924</v>
      </c>
      <c r="J5" s="7">
        <f t="shared" ref="J5:J68" si="2">H5-I5-L5+K5</f>
        <v>454.93320049313655</v>
      </c>
      <c r="K5" s="7"/>
      <c r="L5" s="13">
        <v>183.82</v>
      </c>
      <c r="M5" s="15">
        <f>M4-J5</f>
        <v>259093.05240253094</v>
      </c>
    </row>
    <row r="6" spans="2:15" ht="15" thickBot="1" x14ac:dyDescent="0.35">
      <c r="B6" t="s">
        <v>5</v>
      </c>
      <c r="C6">
        <f>C3-C5</f>
        <v>260000</v>
      </c>
      <c r="G6" s="6">
        <v>3</v>
      </c>
      <c r="H6" s="7">
        <f t="shared" si="1"/>
        <v>2314.738696384929</v>
      </c>
      <c r="I6" s="7">
        <f t="shared" si="0"/>
        <v>1673.0478447139008</v>
      </c>
      <c r="J6" s="7">
        <f t="shared" si="2"/>
        <v>457.87085167102822</v>
      </c>
      <c r="K6" s="7"/>
      <c r="L6" s="13">
        <v>183.82</v>
      </c>
      <c r="M6" s="15">
        <f t="shared" ref="M6:M15" si="3">M5-J6</f>
        <v>258635.18155085991</v>
      </c>
      <c r="O6" s="9"/>
    </row>
    <row r="7" spans="2:15" ht="15" thickBot="1" x14ac:dyDescent="0.35">
      <c r="B7" t="s">
        <v>6</v>
      </c>
      <c r="C7" s="2">
        <v>8.0299999999999996E-2</v>
      </c>
      <c r="G7" s="6">
        <v>4</v>
      </c>
      <c r="H7" s="7">
        <f t="shared" si="1"/>
        <v>2314.738696384929</v>
      </c>
      <c r="I7" s="7">
        <f t="shared" si="0"/>
        <v>1670.0912241698834</v>
      </c>
      <c r="J7" s="7">
        <f t="shared" si="2"/>
        <v>460.82747221504559</v>
      </c>
      <c r="K7" s="7"/>
      <c r="L7" s="13">
        <v>183.82</v>
      </c>
      <c r="M7" s="15">
        <f t="shared" si="3"/>
        <v>258174.35407864486</v>
      </c>
      <c r="O7" s="9"/>
    </row>
    <row r="8" spans="2:15" ht="15" thickBot="1" x14ac:dyDescent="0.35">
      <c r="B8" t="s">
        <v>7</v>
      </c>
      <c r="C8">
        <f>(1+C7)^(1/12)-1</f>
        <v>6.4573242284962085E-3</v>
      </c>
      <c r="G8" s="6">
        <v>5</v>
      </c>
      <c r="H8" s="7">
        <f t="shared" si="1"/>
        <v>2314.738696384929</v>
      </c>
      <c r="I8" s="7">
        <f t="shared" si="0"/>
        <v>1667.1155117683923</v>
      </c>
      <c r="J8" s="7">
        <f t="shared" si="2"/>
        <v>463.80318461653673</v>
      </c>
      <c r="K8" s="7"/>
      <c r="L8" s="13">
        <v>183.82</v>
      </c>
      <c r="M8" s="15">
        <f t="shared" si="3"/>
        <v>257710.55089402833</v>
      </c>
      <c r="O8" s="9"/>
    </row>
    <row r="9" spans="2:15" ht="15" thickBot="1" x14ac:dyDescent="0.35">
      <c r="B9" t="s">
        <v>8</v>
      </c>
      <c r="C9">
        <v>240</v>
      </c>
      <c r="G9" s="6">
        <v>6</v>
      </c>
      <c r="H9" s="7">
        <f t="shared" si="1"/>
        <v>2314.738696384929</v>
      </c>
      <c r="I9" s="7">
        <f t="shared" si="0"/>
        <v>1664.1205842271145</v>
      </c>
      <c r="J9" s="7">
        <f t="shared" si="2"/>
        <v>466.7981121578145</v>
      </c>
      <c r="K9" s="7"/>
      <c r="L9" s="13">
        <v>183.82</v>
      </c>
      <c r="M9" s="15">
        <f t="shared" si="3"/>
        <v>257243.75278187051</v>
      </c>
      <c r="O9" s="9"/>
    </row>
    <row r="10" spans="2:15" ht="15" thickBot="1" x14ac:dyDescent="0.35">
      <c r="B10" t="s">
        <v>9</v>
      </c>
      <c r="C10">
        <v>2.7999999999999998E-4</v>
      </c>
      <c r="G10" s="6">
        <v>7</v>
      </c>
      <c r="H10" s="7">
        <f t="shared" si="1"/>
        <v>2314.738696384929</v>
      </c>
      <c r="I10" s="7">
        <f t="shared" si="0"/>
        <v>1661.1063174676615</v>
      </c>
      <c r="J10" s="7">
        <f t="shared" si="2"/>
        <v>469.81237891726749</v>
      </c>
      <c r="K10" s="7"/>
      <c r="L10" s="13">
        <v>183.82</v>
      </c>
      <c r="M10" s="15">
        <f t="shared" si="3"/>
        <v>256773.94040295325</v>
      </c>
      <c r="O10" s="9"/>
    </row>
    <row r="11" spans="2:15" ht="15" thickBot="1" x14ac:dyDescent="0.35">
      <c r="B11" t="s">
        <v>10</v>
      </c>
      <c r="C11">
        <v>3.3999999999999998E-3</v>
      </c>
      <c r="G11" s="6">
        <v>8</v>
      </c>
      <c r="H11" s="7">
        <f t="shared" si="1"/>
        <v>2314.738696384929</v>
      </c>
      <c r="I11" s="7">
        <f t="shared" si="0"/>
        <v>1658.0725866104315</v>
      </c>
      <c r="J11" s="7">
        <f t="shared" si="2"/>
        <v>472.84610977449751</v>
      </c>
      <c r="K11" s="7"/>
      <c r="L11" s="13">
        <v>183.82</v>
      </c>
      <c r="M11" s="15">
        <f t="shared" si="3"/>
        <v>256301.09429317876</v>
      </c>
      <c r="O11" s="9"/>
    </row>
    <row r="12" spans="2:15" ht="15" thickBot="1" x14ac:dyDescent="0.35">
      <c r="B12" t="s">
        <v>11</v>
      </c>
      <c r="C12" s="3">
        <f>-PMT(C8,C9,C6)</f>
        <v>2134.2720297182623</v>
      </c>
      <c r="G12" s="6">
        <v>9</v>
      </c>
      <c r="H12" s="7">
        <f t="shared" si="1"/>
        <v>2314.738696384929</v>
      </c>
      <c r="I12" s="7">
        <f t="shared" si="0"/>
        <v>1655.0192659694344</v>
      </c>
      <c r="J12" s="7">
        <f t="shared" si="2"/>
        <v>475.89943041549458</v>
      </c>
      <c r="K12" s="7"/>
      <c r="L12" s="13">
        <v>183.82</v>
      </c>
      <c r="M12" s="15">
        <f t="shared" si="3"/>
        <v>255825.19486276325</v>
      </c>
      <c r="O12" s="9"/>
    </row>
    <row r="13" spans="2:15" ht="15" thickBot="1" x14ac:dyDescent="0.35">
      <c r="B13" t="s">
        <v>12</v>
      </c>
      <c r="C13" s="3">
        <f>C12 + (C6*C10) + (C3*C11/12)</f>
        <v>2314.738696384929</v>
      </c>
      <c r="G13" s="6">
        <v>10</v>
      </c>
      <c r="H13" s="7">
        <f t="shared" si="1"/>
        <v>2314.738696384929</v>
      </c>
      <c r="I13" s="7">
        <f t="shared" si="0"/>
        <v>1651.9462290470849</v>
      </c>
      <c r="J13" s="7">
        <f t="shared" si="2"/>
        <v>478.97246733784408</v>
      </c>
      <c r="K13" s="7"/>
      <c r="L13" s="13">
        <v>183.82</v>
      </c>
      <c r="M13" s="15">
        <f t="shared" si="3"/>
        <v>255346.2223954254</v>
      </c>
      <c r="O13" s="9"/>
    </row>
    <row r="14" spans="2:15" ht="15" thickBot="1" x14ac:dyDescent="0.35">
      <c r="G14" s="6">
        <v>11</v>
      </c>
      <c r="H14" s="7">
        <f t="shared" si="1"/>
        <v>2314.738696384929</v>
      </c>
      <c r="I14" s="7">
        <f t="shared" si="0"/>
        <v>1648.8533485289615</v>
      </c>
      <c r="J14" s="7">
        <f t="shared" si="2"/>
        <v>482.06534785596745</v>
      </c>
      <c r="K14" s="7"/>
      <c r="L14" s="13">
        <v>183.82</v>
      </c>
      <c r="M14" s="15">
        <f t="shared" si="3"/>
        <v>254864.15704756943</v>
      </c>
      <c r="O14" s="9"/>
    </row>
    <row r="15" spans="2:15" ht="15" thickBot="1" x14ac:dyDescent="0.35">
      <c r="B15" t="s">
        <v>14</v>
      </c>
      <c r="C15" s="4">
        <v>2000</v>
      </c>
      <c r="G15" s="6">
        <v>12</v>
      </c>
      <c r="H15" s="7">
        <f t="shared" si="1"/>
        <v>2314.738696384929</v>
      </c>
      <c r="I15" s="7">
        <f t="shared" si="0"/>
        <v>1645.7404962785329</v>
      </c>
      <c r="J15" s="7">
        <f t="shared" si="2"/>
        <v>485.1782001063961</v>
      </c>
      <c r="K15" s="7"/>
      <c r="L15" s="13">
        <v>183.82</v>
      </c>
      <c r="M15" s="15">
        <f t="shared" si="3"/>
        <v>254378.97884746303</v>
      </c>
      <c r="O15" s="9"/>
    </row>
    <row r="16" spans="2:15" ht="15" thickBot="1" x14ac:dyDescent="0.35">
      <c r="B16" t="s">
        <v>13</v>
      </c>
      <c r="C16" s="3">
        <f>C15+C13</f>
        <v>4314.7386963849294</v>
      </c>
      <c r="G16" s="6">
        <v>13</v>
      </c>
      <c r="H16" s="7">
        <f t="shared" si="1"/>
        <v>2314.738696384929</v>
      </c>
      <c r="I16" s="7">
        <f t="shared" si="0"/>
        <v>1642.6075433318476</v>
      </c>
      <c r="J16" s="7">
        <f t="shared" si="2"/>
        <v>488.31115305308134</v>
      </c>
      <c r="K16" s="7"/>
      <c r="L16" s="13">
        <v>183.82</v>
      </c>
      <c r="M16" s="15">
        <f t="shared" ref="M16:M20" si="4">M15-J16</f>
        <v>253890.66769440996</v>
      </c>
    </row>
    <row r="17" spans="7:13" ht="15" thickBot="1" x14ac:dyDescent="0.35">
      <c r="G17" s="6">
        <v>14</v>
      </c>
      <c r="H17" s="7">
        <f t="shared" si="1"/>
        <v>2314.738696384929</v>
      </c>
      <c r="I17" s="7">
        <f t="shared" si="0"/>
        <v>1639.454359892193</v>
      </c>
      <c r="J17" s="7">
        <f t="shared" si="2"/>
        <v>491.46433649273598</v>
      </c>
      <c r="K17" s="7"/>
      <c r="L17" s="13">
        <v>183.82</v>
      </c>
      <c r="M17" s="15">
        <f t="shared" si="4"/>
        <v>253399.20335791723</v>
      </c>
    </row>
    <row r="18" spans="7:13" ht="15" thickBot="1" x14ac:dyDescent="0.35">
      <c r="G18" s="6">
        <v>15</v>
      </c>
      <c r="H18" s="7">
        <f t="shared" si="1"/>
        <v>2314.738696384929</v>
      </c>
      <c r="I18" s="7">
        <f t="shared" si="0"/>
        <v>1636.2808153247167</v>
      </c>
      <c r="J18" s="7">
        <f t="shared" si="2"/>
        <v>494.63788106021224</v>
      </c>
      <c r="K18" s="7"/>
      <c r="L18" s="13">
        <v>183.82</v>
      </c>
      <c r="M18" s="15">
        <f t="shared" si="4"/>
        <v>252904.56547685701</v>
      </c>
    </row>
    <row r="19" spans="7:13" ht="15" thickBot="1" x14ac:dyDescent="0.35">
      <c r="G19" s="6">
        <v>16</v>
      </c>
      <c r="H19" s="7">
        <f t="shared" si="1"/>
        <v>2314.738696384929</v>
      </c>
      <c r="I19" s="7">
        <f t="shared" si="0"/>
        <v>1633.0867781510144</v>
      </c>
      <c r="J19" s="7">
        <f t="shared" si="2"/>
        <v>497.83191823391456</v>
      </c>
      <c r="K19" s="7"/>
      <c r="L19" s="13">
        <v>183.82</v>
      </c>
      <c r="M19" s="15">
        <f t="shared" si="4"/>
        <v>252406.73355862309</v>
      </c>
    </row>
    <row r="20" spans="7:13" ht="15" thickBot="1" x14ac:dyDescent="0.35">
      <c r="G20" s="6">
        <v>17</v>
      </c>
      <c r="H20" s="7">
        <f t="shared" si="1"/>
        <v>2314.738696384929</v>
      </c>
      <c r="I20" s="7">
        <f t="shared" si="0"/>
        <v>1629.8721160436839</v>
      </c>
      <c r="J20" s="7">
        <f t="shared" si="2"/>
        <v>501.04658034124503</v>
      </c>
      <c r="K20" s="7"/>
      <c r="L20" s="13">
        <v>183.82</v>
      </c>
      <c r="M20" s="15">
        <f t="shared" si="4"/>
        <v>251905.68697828185</v>
      </c>
    </row>
    <row r="21" spans="7:13" ht="15" thickBot="1" x14ac:dyDescent="0.35">
      <c r="G21" s="6">
        <v>18</v>
      </c>
      <c r="H21" s="7">
        <f t="shared" si="1"/>
        <v>2314.738696384929</v>
      </c>
      <c r="I21" s="7">
        <f t="shared" si="0"/>
        <v>1626.6366958208412</v>
      </c>
      <c r="J21" s="7">
        <f t="shared" si="2"/>
        <v>504.28200056408781</v>
      </c>
      <c r="K21" s="7"/>
      <c r="L21" s="13">
        <v>183.82</v>
      </c>
      <c r="M21" s="15">
        <f t="shared" ref="M21:M84" si="5">M20-J21</f>
        <v>251401.40497771776</v>
      </c>
    </row>
    <row r="22" spans="7:13" ht="15" thickBot="1" x14ac:dyDescent="0.35">
      <c r="G22" s="6">
        <v>19</v>
      </c>
      <c r="H22" s="7">
        <f t="shared" si="1"/>
        <v>2314.738696384929</v>
      </c>
      <c r="I22" s="7">
        <f t="shared" si="0"/>
        <v>1623.3803834406042</v>
      </c>
      <c r="J22" s="7">
        <f t="shared" si="2"/>
        <v>507.53831294432479</v>
      </c>
      <c r="K22" s="7"/>
      <c r="L22" s="13">
        <v>183.82</v>
      </c>
      <c r="M22" s="15">
        <f t="shared" si="5"/>
        <v>250893.86666477344</v>
      </c>
    </row>
    <row r="23" spans="7:13" ht="15" thickBot="1" x14ac:dyDescent="0.35">
      <c r="G23" s="6">
        <v>20</v>
      </c>
      <c r="H23" s="7">
        <f t="shared" si="1"/>
        <v>2314.738696384929</v>
      </c>
      <c r="I23" s="7">
        <f t="shared" si="0"/>
        <v>1620.1030439955387</v>
      </c>
      <c r="J23" s="7">
        <f t="shared" si="2"/>
        <v>510.81565238939032</v>
      </c>
      <c r="K23" s="7"/>
      <c r="L23" s="13">
        <v>183.82</v>
      </c>
      <c r="M23" s="15">
        <f t="shared" si="5"/>
        <v>250383.05101238404</v>
      </c>
    </row>
    <row r="24" spans="7:13" ht="15" thickBot="1" x14ac:dyDescent="0.35">
      <c r="G24" s="6">
        <v>21</v>
      </c>
      <c r="H24" s="7">
        <f t="shared" si="1"/>
        <v>2314.738696384929</v>
      </c>
      <c r="I24" s="7">
        <f t="shared" si="0"/>
        <v>1616.8045417070696</v>
      </c>
      <c r="J24" s="7">
        <f t="shared" si="2"/>
        <v>514.11415467785946</v>
      </c>
      <c r="K24" s="7"/>
      <c r="L24" s="13">
        <v>183.82</v>
      </c>
      <c r="M24" s="15">
        <f t="shared" si="5"/>
        <v>249868.93685770617</v>
      </c>
    </row>
    <row r="25" spans="7:13" ht="15" thickBot="1" x14ac:dyDescent="0.35">
      <c r="G25" s="6">
        <v>22</v>
      </c>
      <c r="H25" s="7">
        <f t="shared" si="1"/>
        <v>2314.738696384929</v>
      </c>
      <c r="I25" s="7">
        <f t="shared" si="0"/>
        <v>1613.4847399198552</v>
      </c>
      <c r="J25" s="7">
        <f t="shared" si="2"/>
        <v>517.43395646507383</v>
      </c>
      <c r="K25" s="7"/>
      <c r="L25" s="13">
        <v>183.82</v>
      </c>
      <c r="M25" s="15">
        <f t="shared" si="5"/>
        <v>249351.5029012411</v>
      </c>
    </row>
    <row r="26" spans="7:13" ht="15" thickBot="1" x14ac:dyDescent="0.35">
      <c r="G26" s="6">
        <v>23</v>
      </c>
      <c r="H26" s="7">
        <f t="shared" si="1"/>
        <v>2314.738696384929</v>
      </c>
      <c r="I26" s="7">
        <f t="shared" si="0"/>
        <v>1610.1435010961268</v>
      </c>
      <c r="J26" s="7">
        <f t="shared" si="2"/>
        <v>520.77519528880225</v>
      </c>
      <c r="K26" s="7"/>
      <c r="L26" s="13">
        <v>183.82</v>
      </c>
      <c r="M26" s="15">
        <f t="shared" si="5"/>
        <v>248830.7277059523</v>
      </c>
    </row>
    <row r="27" spans="7:13" ht="15" thickBot="1" x14ac:dyDescent="0.35">
      <c r="G27" s="6">
        <v>24</v>
      </c>
      <c r="H27" s="7">
        <f t="shared" si="1"/>
        <v>2314.738696384929</v>
      </c>
      <c r="I27" s="7">
        <f t="shared" si="0"/>
        <v>1606.7806868099885</v>
      </c>
      <c r="J27" s="7">
        <f t="shared" si="2"/>
        <v>524.1380095749405</v>
      </c>
      <c r="K27" s="7"/>
      <c r="L27" s="13">
        <v>183.82</v>
      </c>
      <c r="M27" s="15">
        <f t="shared" si="5"/>
        <v>248306.58969637737</v>
      </c>
    </row>
    <row r="28" spans="7:13" ht="15" thickBot="1" x14ac:dyDescent="0.35">
      <c r="G28" s="6">
        <v>25</v>
      </c>
      <c r="H28" s="7">
        <f t="shared" si="1"/>
        <v>2314.738696384929</v>
      </c>
      <c r="I28" s="7">
        <f t="shared" si="0"/>
        <v>1603.3961577416846</v>
      </c>
      <c r="J28" s="7">
        <f t="shared" si="2"/>
        <v>527.52253864324439</v>
      </c>
      <c r="K28" s="7"/>
      <c r="L28" s="13">
        <v>183.82</v>
      </c>
      <c r="M28" s="15">
        <f t="shared" si="5"/>
        <v>247779.06715773413</v>
      </c>
    </row>
    <row r="29" spans="7:13" ht="15" thickBot="1" x14ac:dyDescent="0.35">
      <c r="G29" s="6">
        <v>26</v>
      </c>
      <c r="H29" s="7">
        <f t="shared" si="1"/>
        <v>2314.738696384929</v>
      </c>
      <c r="I29" s="7">
        <f t="shared" si="0"/>
        <v>1599.9897736718258</v>
      </c>
      <c r="J29" s="7">
        <f t="shared" si="2"/>
        <v>530.92892271310325</v>
      </c>
      <c r="K29" s="7"/>
      <c r="L29" s="13">
        <v>183.82</v>
      </c>
      <c r="M29" s="15">
        <f t="shared" si="5"/>
        <v>247248.13823502103</v>
      </c>
    </row>
    <row r="30" spans="7:13" ht="15" thickBot="1" x14ac:dyDescent="0.35">
      <c r="G30" s="6">
        <v>27</v>
      </c>
      <c r="H30" s="7">
        <f t="shared" si="1"/>
        <v>2314.738696384929</v>
      </c>
      <c r="I30" s="7">
        <f t="shared" si="0"/>
        <v>1596.5613934755811</v>
      </c>
      <c r="J30" s="7">
        <f t="shared" si="2"/>
        <v>534.35730290934794</v>
      </c>
      <c r="K30" s="7"/>
      <c r="L30" s="13">
        <v>183.82</v>
      </c>
      <c r="M30" s="15">
        <f t="shared" si="5"/>
        <v>246713.78093211169</v>
      </c>
    </row>
    <row r="31" spans="7:13" ht="15" thickBot="1" x14ac:dyDescent="0.35">
      <c r="G31" s="6">
        <v>28</v>
      </c>
      <c r="H31" s="7">
        <f t="shared" si="1"/>
        <v>2314.738696384929</v>
      </c>
      <c r="I31" s="7">
        <f t="shared" si="0"/>
        <v>1593.1108751168308</v>
      </c>
      <c r="J31" s="7">
        <f t="shared" si="2"/>
        <v>537.80782126809822</v>
      </c>
      <c r="K31" s="7"/>
      <c r="L31" s="13">
        <v>183.82</v>
      </c>
      <c r="M31" s="15">
        <f t="shared" si="5"/>
        <v>246175.9731108436</v>
      </c>
    </row>
    <row r="32" spans="7:13" ht="15" thickBot="1" x14ac:dyDescent="0.35">
      <c r="G32" s="6">
        <v>29</v>
      </c>
      <c r="H32" s="7">
        <f t="shared" si="1"/>
        <v>2314.738696384929</v>
      </c>
      <c r="I32" s="7">
        <f t="shared" si="0"/>
        <v>1589.6380756422816</v>
      </c>
      <c r="J32" s="7">
        <f t="shared" si="2"/>
        <v>541.28062074264744</v>
      </c>
      <c r="K32" s="7"/>
      <c r="L32" s="13">
        <v>183.82</v>
      </c>
      <c r="M32" s="15">
        <f t="shared" si="5"/>
        <v>245634.69249010095</v>
      </c>
    </row>
    <row r="33" spans="7:13" ht="15" thickBot="1" x14ac:dyDescent="0.35">
      <c r="G33" s="6">
        <v>30</v>
      </c>
      <c r="H33" s="7">
        <f t="shared" si="1"/>
        <v>2314.738696384929</v>
      </c>
      <c r="I33" s="7">
        <f t="shared" si="0"/>
        <v>1586.1428511755446</v>
      </c>
      <c r="J33" s="7">
        <f t="shared" si="2"/>
        <v>544.77584520938444</v>
      </c>
      <c r="K33" s="7"/>
      <c r="L33" s="13">
        <v>183.82</v>
      </c>
      <c r="M33" s="15">
        <f t="shared" si="5"/>
        <v>245089.91664489155</v>
      </c>
    </row>
    <row r="34" spans="7:13" ht="15" thickBot="1" x14ac:dyDescent="0.35">
      <c r="G34" s="6">
        <v>31</v>
      </c>
      <c r="H34" s="7">
        <f t="shared" si="1"/>
        <v>2314.738696384929</v>
      </c>
      <c r="I34" s="7">
        <f t="shared" si="0"/>
        <v>1582.6250569111744</v>
      </c>
      <c r="J34" s="7">
        <f t="shared" si="2"/>
        <v>548.29363947375464</v>
      </c>
      <c r="K34" s="7"/>
      <c r="L34" s="13">
        <v>183.82</v>
      </c>
      <c r="M34" s="15">
        <f t="shared" si="5"/>
        <v>244541.62300541779</v>
      </c>
    </row>
    <row r="35" spans="7:13" ht="15" thickBot="1" x14ac:dyDescent="0.35">
      <c r="G35" s="6">
        <v>32</v>
      </c>
      <c r="H35" s="7">
        <f t="shared" si="1"/>
        <v>2314.738696384929</v>
      </c>
      <c r="I35" s="7">
        <f t="shared" si="0"/>
        <v>1579.08454710867</v>
      </c>
      <c r="J35" s="7">
        <f t="shared" si="2"/>
        <v>551.83414927625904</v>
      </c>
      <c r="K35" s="7"/>
      <c r="L35" s="13">
        <v>183.82</v>
      </c>
      <c r="M35" s="15">
        <f t="shared" si="5"/>
        <v>243989.78885614153</v>
      </c>
    </row>
    <row r="36" spans="7:13" ht="15" thickBot="1" x14ac:dyDescent="0.35">
      <c r="G36" s="6">
        <v>33</v>
      </c>
      <c r="H36" s="7">
        <f t="shared" si="1"/>
        <v>2314.738696384929</v>
      </c>
      <c r="I36" s="7">
        <f t="shared" ref="I36:I68" si="6">M35*$C$8</f>
        <v>1575.5211750864369</v>
      </c>
      <c r="J36" s="7">
        <f t="shared" si="2"/>
        <v>555.39752129849217</v>
      </c>
      <c r="K36" s="7"/>
      <c r="L36" s="13">
        <v>183.82</v>
      </c>
      <c r="M36" s="15">
        <f t="shared" si="5"/>
        <v>243434.39133484304</v>
      </c>
    </row>
    <row r="37" spans="7:13" ht="15" thickBot="1" x14ac:dyDescent="0.35">
      <c r="G37" s="6">
        <v>34</v>
      </c>
      <c r="H37" s="7">
        <f t="shared" si="1"/>
        <v>2314.738696384929</v>
      </c>
      <c r="I37" s="7">
        <f t="shared" si="6"/>
        <v>1571.9347932157093</v>
      </c>
      <c r="J37" s="7">
        <f t="shared" si="2"/>
        <v>558.98390316921973</v>
      </c>
      <c r="K37" s="7"/>
      <c r="L37" s="13">
        <v>183.82</v>
      </c>
      <c r="M37" s="15">
        <f t="shared" si="5"/>
        <v>242875.40743167381</v>
      </c>
    </row>
    <row r="38" spans="7:13" ht="15" thickBot="1" x14ac:dyDescent="0.35">
      <c r="G38" s="6">
        <v>35</v>
      </c>
      <c r="H38" s="7">
        <f t="shared" si="1"/>
        <v>2314.738696384929</v>
      </c>
      <c r="I38" s="7">
        <f t="shared" si="6"/>
        <v>1568.3252529144354</v>
      </c>
      <c r="J38" s="7">
        <f t="shared" si="2"/>
        <v>562.59344347049364</v>
      </c>
      <c r="K38" s="7"/>
      <c r="L38" s="13">
        <v>183.82</v>
      </c>
      <c r="M38" s="15">
        <f t="shared" si="5"/>
        <v>242312.81398820333</v>
      </c>
    </row>
    <row r="39" spans="7:13" ht="15" thickBot="1" x14ac:dyDescent="0.35">
      <c r="G39" s="6">
        <v>36</v>
      </c>
      <c r="H39" s="7">
        <f t="shared" si="1"/>
        <v>2314.738696384929</v>
      </c>
      <c r="I39" s="7">
        <f t="shared" si="6"/>
        <v>1564.6924046411202</v>
      </c>
      <c r="J39" s="7">
        <f t="shared" si="2"/>
        <v>566.22629174380882</v>
      </c>
      <c r="K39" s="7"/>
      <c r="L39" s="13">
        <v>183.82</v>
      </c>
      <c r="M39" s="15">
        <f t="shared" si="5"/>
        <v>241746.58769645952</v>
      </c>
    </row>
    <row r="40" spans="7:13" ht="15" thickBot="1" x14ac:dyDescent="0.35">
      <c r="G40" s="6">
        <v>37</v>
      </c>
      <c r="H40" s="7">
        <f t="shared" si="1"/>
        <v>2314.738696384929</v>
      </c>
      <c r="I40" s="7">
        <f t="shared" si="6"/>
        <v>1561.0360978886315</v>
      </c>
      <c r="J40" s="7">
        <f t="shared" si="2"/>
        <v>569.88259849629753</v>
      </c>
      <c r="K40" s="7"/>
      <c r="L40" s="13">
        <v>183.82</v>
      </c>
      <c r="M40" s="15">
        <f t="shared" si="5"/>
        <v>241176.70509796322</v>
      </c>
    </row>
    <row r="41" spans="7:13" ht="15" thickBot="1" x14ac:dyDescent="0.35">
      <c r="G41" s="6">
        <v>38</v>
      </c>
      <c r="H41" s="7">
        <f t="shared" si="1"/>
        <v>2314.738696384929</v>
      </c>
      <c r="I41" s="7">
        <f t="shared" si="6"/>
        <v>1557.356181177963</v>
      </c>
      <c r="J41" s="7">
        <f t="shared" si="2"/>
        <v>573.56251520696605</v>
      </c>
      <c r="K41" s="7"/>
      <c r="L41" s="13">
        <v>183.82</v>
      </c>
      <c r="M41" s="15">
        <f t="shared" si="5"/>
        <v>240603.14258275626</v>
      </c>
    </row>
    <row r="42" spans="7:13" ht="15" thickBot="1" x14ac:dyDescent="0.35">
      <c r="G42" s="6">
        <v>39</v>
      </c>
      <c r="H42" s="7">
        <f t="shared" si="1"/>
        <v>2314.738696384929</v>
      </c>
      <c r="I42" s="7">
        <f t="shared" si="6"/>
        <v>1553.6525020519598</v>
      </c>
      <c r="J42" s="7">
        <f t="shared" si="2"/>
        <v>577.26619433296923</v>
      </c>
      <c r="K42" s="7"/>
      <c r="L42" s="13">
        <v>183.82</v>
      </c>
      <c r="M42" s="15">
        <f t="shared" si="5"/>
        <v>240025.87638842329</v>
      </c>
    </row>
    <row r="43" spans="7:13" ht="15" thickBot="1" x14ac:dyDescent="0.35">
      <c r="G43" s="6">
        <v>40</v>
      </c>
      <c r="H43" s="7">
        <f t="shared" si="1"/>
        <v>2314.738696384929</v>
      </c>
      <c r="I43" s="7">
        <f t="shared" si="6"/>
        <v>1549.9249070690016</v>
      </c>
      <c r="J43" s="7">
        <f t="shared" si="2"/>
        <v>580.99378931592742</v>
      </c>
      <c r="K43" s="7"/>
      <c r="L43" s="13">
        <v>183.82</v>
      </c>
      <c r="M43" s="15">
        <f t="shared" si="5"/>
        <v>239444.88259910737</v>
      </c>
    </row>
    <row r="44" spans="7:13" ht="15" thickBot="1" x14ac:dyDescent="0.35">
      <c r="G44" s="6">
        <v>41</v>
      </c>
      <c r="H44" s="7">
        <f t="shared" si="1"/>
        <v>2314.738696384929</v>
      </c>
      <c r="I44" s="7">
        <f t="shared" si="6"/>
        <v>1546.1732417966462</v>
      </c>
      <c r="J44" s="7">
        <f t="shared" si="2"/>
        <v>584.74545458828288</v>
      </c>
      <c r="K44" s="7"/>
      <c r="L44" s="13">
        <v>183.82</v>
      </c>
      <c r="M44" s="15">
        <f t="shared" si="5"/>
        <v>238860.13714451907</v>
      </c>
    </row>
    <row r="45" spans="7:13" ht="15" thickBot="1" x14ac:dyDescent="0.35">
      <c r="G45" s="6">
        <v>42</v>
      </c>
      <c r="H45" s="7">
        <f t="shared" si="1"/>
        <v>2314.738696384929</v>
      </c>
      <c r="I45" s="7">
        <f t="shared" si="6"/>
        <v>1542.3973508052302</v>
      </c>
      <c r="J45" s="7">
        <f t="shared" si="2"/>
        <v>588.52134557969885</v>
      </c>
      <c r="K45" s="7"/>
      <c r="L45" s="13">
        <v>183.82</v>
      </c>
      <c r="M45" s="15">
        <f t="shared" si="5"/>
        <v>238271.61579893937</v>
      </c>
    </row>
    <row r="46" spans="7:13" ht="15" thickBot="1" x14ac:dyDescent="0.35">
      <c r="G46" s="6">
        <v>43</v>
      </c>
      <c r="H46" s="7">
        <f t="shared" si="1"/>
        <v>2314.738696384929</v>
      </c>
      <c r="I46" s="7">
        <f t="shared" si="6"/>
        <v>1538.5970776614311</v>
      </c>
      <c r="J46" s="7">
        <f t="shared" si="2"/>
        <v>592.32161872349798</v>
      </c>
      <c r="K46" s="7"/>
      <c r="L46" s="13">
        <v>183.82</v>
      </c>
      <c r="M46" s="15">
        <f t="shared" si="5"/>
        <v>237679.29418021586</v>
      </c>
    </row>
    <row r="47" spans="7:13" ht="15" thickBot="1" x14ac:dyDescent="0.35">
      <c r="G47" s="6">
        <v>44</v>
      </c>
      <c r="H47" s="7">
        <f t="shared" si="1"/>
        <v>2314.738696384929</v>
      </c>
      <c r="I47" s="7">
        <f t="shared" si="6"/>
        <v>1534.7722649217858</v>
      </c>
      <c r="J47" s="7">
        <f t="shared" si="2"/>
        <v>596.14643146314324</v>
      </c>
      <c r="K47" s="7"/>
      <c r="L47" s="13">
        <v>183.82</v>
      </c>
      <c r="M47" s="15">
        <f t="shared" si="5"/>
        <v>237083.14774875273</v>
      </c>
    </row>
    <row r="48" spans="7:13" ht="15" thickBot="1" x14ac:dyDescent="0.35">
      <c r="G48" s="6">
        <v>45</v>
      </c>
      <c r="H48" s="7">
        <f t="shared" si="1"/>
        <v>2314.738696384929</v>
      </c>
      <c r="I48" s="7">
        <f t="shared" si="6"/>
        <v>1530.9227541261673</v>
      </c>
      <c r="J48" s="7">
        <f t="shared" si="2"/>
        <v>599.99594225876172</v>
      </c>
      <c r="K48" s="7"/>
      <c r="L48" s="13">
        <v>183.82</v>
      </c>
      <c r="M48" s="15">
        <f t="shared" si="5"/>
        <v>236483.15180649396</v>
      </c>
    </row>
    <row r="49" spans="7:13" ht="15" thickBot="1" x14ac:dyDescent="0.35">
      <c r="G49" s="6">
        <v>46</v>
      </c>
      <c r="H49" s="7">
        <f t="shared" si="1"/>
        <v>2314.738696384929</v>
      </c>
      <c r="I49" s="7">
        <f t="shared" si="6"/>
        <v>1527.0483857912204</v>
      </c>
      <c r="J49" s="7">
        <f t="shared" si="2"/>
        <v>603.87031059370861</v>
      </c>
      <c r="K49" s="7"/>
      <c r="L49" s="13">
        <v>183.82</v>
      </c>
      <c r="M49" s="15">
        <f t="shared" si="5"/>
        <v>235879.28149590024</v>
      </c>
    </row>
    <row r="50" spans="7:13" ht="15" thickBot="1" x14ac:dyDescent="0.35">
      <c r="G50" s="6">
        <v>47</v>
      </c>
      <c r="H50" s="7">
        <f t="shared" si="1"/>
        <v>2314.738696384929</v>
      </c>
      <c r="I50" s="7">
        <f t="shared" si="6"/>
        <v>1523.148999403754</v>
      </c>
      <c r="J50" s="7">
        <f t="shared" si="2"/>
        <v>607.769696981175</v>
      </c>
      <c r="K50" s="7"/>
      <c r="L50" s="13">
        <v>183.82</v>
      </c>
      <c r="M50" s="15">
        <f t="shared" si="5"/>
        <v>235271.51179891906</v>
      </c>
    </row>
    <row r="51" spans="7:13" ht="15" thickBot="1" x14ac:dyDescent="0.35">
      <c r="G51" s="6">
        <v>48</v>
      </c>
      <c r="H51" s="7">
        <f t="shared" si="1"/>
        <v>2314.738696384929</v>
      </c>
      <c r="I51" s="7">
        <f t="shared" si="6"/>
        <v>1519.2244334140917</v>
      </c>
      <c r="J51" s="7">
        <f t="shared" si="2"/>
        <v>611.69426297083737</v>
      </c>
      <c r="K51" s="7"/>
      <c r="L51" s="13">
        <v>183.82</v>
      </c>
      <c r="M51" s="15">
        <f t="shared" si="5"/>
        <v>234659.81753594821</v>
      </c>
    </row>
    <row r="52" spans="7:13" ht="15" thickBot="1" x14ac:dyDescent="0.35">
      <c r="G52" s="6">
        <v>49</v>
      </c>
      <c r="H52" s="7">
        <f t="shared" si="1"/>
        <v>2314.738696384929</v>
      </c>
      <c r="I52" s="7">
        <f t="shared" si="6"/>
        <v>1515.2745252293778</v>
      </c>
      <c r="J52" s="7">
        <f t="shared" si="2"/>
        <v>615.64417115555125</v>
      </c>
      <c r="K52" s="7"/>
      <c r="L52" s="13">
        <v>183.82</v>
      </c>
      <c r="M52" s="15">
        <f t="shared" si="5"/>
        <v>234044.17336479266</v>
      </c>
    </row>
    <row r="53" spans="7:13" ht="15" thickBot="1" x14ac:dyDescent="0.35">
      <c r="G53" s="6">
        <v>50</v>
      </c>
      <c r="H53" s="7">
        <f t="shared" si="1"/>
        <v>2314.738696384929</v>
      </c>
      <c r="I53" s="7">
        <f t="shared" si="6"/>
        <v>1511.2991112068426</v>
      </c>
      <c r="J53" s="7">
        <f t="shared" si="2"/>
        <v>619.61958517808648</v>
      </c>
      <c r="K53" s="7"/>
      <c r="L53" s="13">
        <v>183.82</v>
      </c>
      <c r="M53" s="15">
        <f t="shared" si="5"/>
        <v>233424.55377961457</v>
      </c>
    </row>
    <row r="54" spans="7:13" ht="15" thickBot="1" x14ac:dyDescent="0.35">
      <c r="G54" s="6">
        <v>51</v>
      </c>
      <c r="H54" s="7">
        <f t="shared" si="1"/>
        <v>2314.738696384929</v>
      </c>
      <c r="I54" s="7">
        <f t="shared" si="6"/>
        <v>1507.2980266470213</v>
      </c>
      <c r="J54" s="7">
        <f t="shared" si="2"/>
        <v>623.62066973790775</v>
      </c>
      <c r="K54" s="7"/>
      <c r="L54" s="13">
        <v>183.82</v>
      </c>
      <c r="M54" s="15">
        <f t="shared" si="5"/>
        <v>232800.93310987667</v>
      </c>
    </row>
    <row r="55" spans="7:13" ht="15" thickBot="1" x14ac:dyDescent="0.35">
      <c r="G55" s="6">
        <v>52</v>
      </c>
      <c r="H55" s="7">
        <f t="shared" si="1"/>
        <v>2314.738696384929</v>
      </c>
      <c r="I55" s="7">
        <f t="shared" si="6"/>
        <v>1503.2711057869319</v>
      </c>
      <c r="J55" s="7">
        <f t="shared" si="2"/>
        <v>627.64759059799712</v>
      </c>
      <c r="K55" s="7"/>
      <c r="L55" s="13">
        <v>183.82</v>
      </c>
      <c r="M55" s="15">
        <f t="shared" si="5"/>
        <v>232173.28551927867</v>
      </c>
    </row>
    <row r="56" spans="7:13" ht="15" thickBot="1" x14ac:dyDescent="0.35">
      <c r="G56" s="6">
        <v>53</v>
      </c>
      <c r="H56" s="7">
        <f t="shared" si="1"/>
        <v>2314.738696384929</v>
      </c>
      <c r="I56" s="7">
        <f t="shared" si="6"/>
        <v>1499.218181793206</v>
      </c>
      <c r="J56" s="7">
        <f t="shared" si="2"/>
        <v>631.70051459172305</v>
      </c>
      <c r="K56" s="7"/>
      <c r="L56" s="13">
        <v>183.82</v>
      </c>
      <c r="M56" s="15">
        <f t="shared" si="5"/>
        <v>231541.58500468693</v>
      </c>
    </row>
    <row r="57" spans="7:13" ht="15" thickBot="1" x14ac:dyDescent="0.35">
      <c r="G57" s="6">
        <v>54</v>
      </c>
      <c r="H57" s="7">
        <f t="shared" si="1"/>
        <v>2314.738696384929</v>
      </c>
      <c r="I57" s="7">
        <f t="shared" si="6"/>
        <v>1495.1390867551793</v>
      </c>
      <c r="J57" s="7">
        <f t="shared" si="2"/>
        <v>635.77960962974976</v>
      </c>
      <c r="K57" s="7"/>
      <c r="L57" s="13">
        <v>183.82</v>
      </c>
      <c r="M57" s="15">
        <f t="shared" si="5"/>
        <v>230905.80539505719</v>
      </c>
    </row>
    <row r="58" spans="7:13" ht="15" thickBot="1" x14ac:dyDescent="0.35">
      <c r="G58" s="6">
        <v>55</v>
      </c>
      <c r="H58" s="7">
        <f t="shared" si="1"/>
        <v>2314.738696384929</v>
      </c>
      <c r="I58" s="7">
        <f t="shared" si="6"/>
        <v>1491.0336516779332</v>
      </c>
      <c r="J58" s="7">
        <f t="shared" si="2"/>
        <v>639.88504470699581</v>
      </c>
      <c r="K58" s="7"/>
      <c r="L58" s="13">
        <v>183.82</v>
      </c>
      <c r="M58" s="15">
        <f t="shared" si="5"/>
        <v>230265.92035035021</v>
      </c>
    </row>
    <row r="59" spans="7:13" ht="15" thickBot="1" x14ac:dyDescent="0.35">
      <c r="G59" s="6">
        <v>56</v>
      </c>
      <c r="H59" s="7">
        <f t="shared" si="1"/>
        <v>2314.738696384929</v>
      </c>
      <c r="I59" s="7">
        <f t="shared" si="6"/>
        <v>1486.9017064752945</v>
      </c>
      <c r="J59" s="7">
        <f t="shared" si="2"/>
        <v>644.0169899096345</v>
      </c>
      <c r="K59" s="7"/>
      <c r="L59" s="13">
        <v>183.82</v>
      </c>
      <c r="M59" s="15">
        <f t="shared" si="5"/>
        <v>229621.90336044057</v>
      </c>
    </row>
    <row r="60" spans="7:13" ht="15" thickBot="1" x14ac:dyDescent="0.35">
      <c r="G60" s="6">
        <v>57</v>
      </c>
      <c r="H60" s="7">
        <f t="shared" si="1"/>
        <v>2314.738696384929</v>
      </c>
      <c r="I60" s="7">
        <f t="shared" si="6"/>
        <v>1482.7430799627878</v>
      </c>
      <c r="J60" s="7">
        <f t="shared" si="2"/>
        <v>648.17561642214127</v>
      </c>
      <c r="K60" s="7"/>
      <c r="L60" s="13">
        <v>183.82</v>
      </c>
      <c r="M60" s="15">
        <f t="shared" si="5"/>
        <v>228973.72774401843</v>
      </c>
    </row>
    <row r="61" spans="7:13" ht="15" thickBot="1" x14ac:dyDescent="0.35">
      <c r="G61" s="6">
        <v>58</v>
      </c>
      <c r="H61" s="7">
        <f t="shared" si="1"/>
        <v>2314.738696384929</v>
      </c>
      <c r="I61" s="7">
        <f t="shared" si="6"/>
        <v>1478.5575998505446</v>
      </c>
      <c r="J61" s="7">
        <f t="shared" si="2"/>
        <v>652.36109653438439</v>
      </c>
      <c r="K61" s="7"/>
      <c r="L61" s="13">
        <v>183.82</v>
      </c>
      <c r="M61" s="15">
        <f t="shared" si="5"/>
        <v>228321.36664748404</v>
      </c>
    </row>
    <row r="62" spans="7:13" ht="15" thickBot="1" x14ac:dyDescent="0.35">
      <c r="G62" s="6">
        <v>59</v>
      </c>
      <c r="H62" s="7">
        <f t="shared" si="1"/>
        <v>2314.738696384929</v>
      </c>
      <c r="I62" s="7">
        <f t="shared" si="6"/>
        <v>1474.3450927361648</v>
      </c>
      <c r="J62" s="7">
        <f t="shared" si="2"/>
        <v>656.57360364876422</v>
      </c>
      <c r="K62" s="7"/>
      <c r="L62" s="13">
        <v>183.82</v>
      </c>
      <c r="M62" s="15">
        <f t="shared" si="5"/>
        <v>227664.79304383529</v>
      </c>
    </row>
    <row r="63" spans="7:13" ht="15" thickBot="1" x14ac:dyDescent="0.35">
      <c r="G63" s="6">
        <v>60</v>
      </c>
      <c r="H63" s="7">
        <f t="shared" si="1"/>
        <v>2314.738696384929</v>
      </c>
      <c r="I63" s="7">
        <f t="shared" si="6"/>
        <v>1470.1053840975328</v>
      </c>
      <c r="J63" s="7">
        <f t="shared" si="2"/>
        <v>660.81331228739623</v>
      </c>
      <c r="K63" s="7"/>
      <c r="L63" s="13">
        <v>183.82</v>
      </c>
      <c r="M63" s="15">
        <f t="shared" si="5"/>
        <v>227003.97973154791</v>
      </c>
    </row>
    <row r="64" spans="7:13" ht="15" thickBot="1" x14ac:dyDescent="0.35">
      <c r="G64" s="6">
        <v>61</v>
      </c>
      <c r="H64" s="7">
        <f t="shared" si="1"/>
        <v>2314.738696384929</v>
      </c>
      <c r="I64" s="7">
        <f t="shared" si="6"/>
        <v>1465.8382982855865</v>
      </c>
      <c r="J64" s="7">
        <f t="shared" si="2"/>
        <v>665.08039809934257</v>
      </c>
      <c r="K64" s="7"/>
      <c r="L64" s="13">
        <v>183.82</v>
      </c>
      <c r="M64" s="15">
        <f t="shared" si="5"/>
        <v>226338.89933344856</v>
      </c>
    </row>
    <row r="65" spans="7:13" ht="15" thickBot="1" x14ac:dyDescent="0.35">
      <c r="G65" s="6">
        <v>62</v>
      </c>
      <c r="H65" s="7">
        <f t="shared" si="1"/>
        <v>2314.738696384929</v>
      </c>
      <c r="I65" s="7">
        <f t="shared" si="6"/>
        <v>1461.5436585170416</v>
      </c>
      <c r="J65" s="7">
        <f t="shared" si="2"/>
        <v>669.37503786788739</v>
      </c>
      <c r="K65" s="7"/>
      <c r="L65" s="13">
        <v>183.82</v>
      </c>
      <c r="M65" s="15">
        <f t="shared" si="5"/>
        <v>225669.52429558066</v>
      </c>
    </row>
    <row r="66" spans="7:13" ht="15" thickBot="1" x14ac:dyDescent="0.35">
      <c r="G66" s="6">
        <v>63</v>
      </c>
      <c r="H66" s="7">
        <f t="shared" si="1"/>
        <v>2314.738696384929</v>
      </c>
      <c r="I66" s="7">
        <f t="shared" si="6"/>
        <v>1457.2212868670667</v>
      </c>
      <c r="J66" s="7">
        <f t="shared" si="2"/>
        <v>673.6974095178623</v>
      </c>
      <c r="K66" s="7"/>
      <c r="L66" s="13">
        <v>183.82</v>
      </c>
      <c r="M66" s="15">
        <f t="shared" si="5"/>
        <v>224995.8268860628</v>
      </c>
    </row>
    <row r="67" spans="7:13" ht="15" thickBot="1" x14ac:dyDescent="0.35">
      <c r="G67" s="6">
        <v>64</v>
      </c>
      <c r="H67" s="7">
        <f t="shared" si="1"/>
        <v>2314.738696384929</v>
      </c>
      <c r="I67" s="7">
        <f t="shared" si="6"/>
        <v>1452.871004261912</v>
      </c>
      <c r="J67" s="7">
        <f t="shared" si="2"/>
        <v>678.04769212301699</v>
      </c>
      <c r="K67" s="7"/>
      <c r="L67" s="13">
        <v>183.82</v>
      </c>
      <c r="M67" s="15">
        <f t="shared" si="5"/>
        <v>224317.77919393979</v>
      </c>
    </row>
    <row r="68" spans="7:13" ht="15" thickBot="1" x14ac:dyDescent="0.35">
      <c r="G68" s="6">
        <v>65</v>
      </c>
      <c r="H68" s="7">
        <f t="shared" si="1"/>
        <v>2314.738696384929</v>
      </c>
      <c r="I68" s="7">
        <f t="shared" si="6"/>
        <v>1448.49263047149</v>
      </c>
      <c r="J68" s="7">
        <f t="shared" si="2"/>
        <v>682.42606591343906</v>
      </c>
      <c r="K68" s="7"/>
      <c r="L68" s="13">
        <v>183.82</v>
      </c>
      <c r="M68" s="15">
        <f t="shared" si="5"/>
        <v>223635.35312802636</v>
      </c>
    </row>
    <row r="69" spans="7:13" ht="15" thickBot="1" x14ac:dyDescent="0.35">
      <c r="G69" s="6">
        <v>66</v>
      </c>
      <c r="H69" s="7">
        <f t="shared" ref="H69:H132" si="7">$C$13</f>
        <v>2314.738696384929</v>
      </c>
      <c r="I69" s="7">
        <f t="shared" ref="I69:I132" si="8">M68*$C$8</f>
        <v>1444.0859841019098</v>
      </c>
      <c r="J69" s="7">
        <f t="shared" ref="J69:J132" si="9">H69-I69-L69+K69</f>
        <v>686.83271228301919</v>
      </c>
      <c r="K69" s="7"/>
      <c r="L69" s="13">
        <v>183.82</v>
      </c>
      <c r="M69" s="15">
        <f t="shared" si="5"/>
        <v>222948.52041574335</v>
      </c>
    </row>
    <row r="70" spans="7:13" ht="15" thickBot="1" x14ac:dyDescent="0.35">
      <c r="G70" s="6">
        <v>67</v>
      </c>
      <c r="H70" s="7">
        <f t="shared" si="7"/>
        <v>2314.738696384929</v>
      </c>
      <c r="I70" s="7">
        <f t="shared" si="8"/>
        <v>1439.6508825879612</v>
      </c>
      <c r="J70" s="7">
        <f t="shared" si="9"/>
        <v>691.26781379696786</v>
      </c>
      <c r="K70" s="7"/>
      <c r="L70" s="13">
        <v>183.82</v>
      </c>
      <c r="M70" s="15">
        <f t="shared" si="5"/>
        <v>222257.25260194638</v>
      </c>
    </row>
    <row r="71" spans="7:13" ht="15" thickBot="1" x14ac:dyDescent="0.35">
      <c r="G71" s="6">
        <v>68</v>
      </c>
      <c r="H71" s="7">
        <f t="shared" si="7"/>
        <v>2314.738696384929</v>
      </c>
      <c r="I71" s="7">
        <f t="shared" si="8"/>
        <v>1435.1871421855503</v>
      </c>
      <c r="J71" s="7">
        <f t="shared" si="9"/>
        <v>695.73155419937871</v>
      </c>
      <c r="K71" s="7"/>
      <c r="L71" s="13">
        <v>183.82</v>
      </c>
      <c r="M71" s="15">
        <f t="shared" si="5"/>
        <v>221561.521047747</v>
      </c>
    </row>
    <row r="72" spans="7:13" ht="15" thickBot="1" x14ac:dyDescent="0.35">
      <c r="G72" s="6">
        <v>69</v>
      </c>
      <c r="H72" s="7">
        <f t="shared" si="7"/>
        <v>2314.738696384929</v>
      </c>
      <c r="I72" s="7">
        <f t="shared" si="8"/>
        <v>1430.6945779640894</v>
      </c>
      <c r="J72" s="7">
        <f t="shared" si="9"/>
        <v>700.22411842083966</v>
      </c>
      <c r="K72" s="7"/>
      <c r="L72" s="13">
        <v>183.82</v>
      </c>
      <c r="M72" s="15">
        <f t="shared" si="5"/>
        <v>220861.29692932614</v>
      </c>
    </row>
    <row r="73" spans="7:13" ht="15" thickBot="1" x14ac:dyDescent="0.35">
      <c r="G73" s="6">
        <v>70</v>
      </c>
      <c r="H73" s="7">
        <f t="shared" si="7"/>
        <v>2314.738696384929</v>
      </c>
      <c r="I73" s="7">
        <f t="shared" si="8"/>
        <v>1426.173003798833</v>
      </c>
      <c r="J73" s="7">
        <f t="shared" si="9"/>
        <v>704.74569258609608</v>
      </c>
      <c r="K73" s="7"/>
      <c r="L73" s="13">
        <v>183.82</v>
      </c>
      <c r="M73" s="15">
        <f t="shared" si="5"/>
        <v>220156.55123674005</v>
      </c>
    </row>
    <row r="74" spans="7:13" ht="15" thickBot="1" x14ac:dyDescent="0.35">
      <c r="G74" s="6">
        <v>71</v>
      </c>
      <c r="H74" s="7">
        <f t="shared" si="7"/>
        <v>2314.738696384929</v>
      </c>
      <c r="I74" s="7">
        <f t="shared" si="8"/>
        <v>1421.6222323631685</v>
      </c>
      <c r="J74" s="7">
        <f t="shared" si="9"/>
        <v>709.29646402176058</v>
      </c>
      <c r="K74" s="7"/>
      <c r="L74" s="13">
        <v>183.82</v>
      </c>
      <c r="M74" s="15">
        <f t="shared" si="5"/>
        <v>219447.2547727183</v>
      </c>
    </row>
    <row r="75" spans="7:13" ht="15" thickBot="1" x14ac:dyDescent="0.35">
      <c r="G75" s="6">
        <v>72</v>
      </c>
      <c r="H75" s="7">
        <f t="shared" si="7"/>
        <v>2314.738696384929</v>
      </c>
      <c r="I75" s="7">
        <f t="shared" si="8"/>
        <v>1417.0420751208542</v>
      </c>
      <c r="J75" s="7">
        <f t="shared" si="9"/>
        <v>713.87662126407486</v>
      </c>
      <c r="K75" s="7"/>
      <c r="L75" s="13">
        <v>183.82</v>
      </c>
      <c r="M75" s="15">
        <f t="shared" si="5"/>
        <v>218733.37815145424</v>
      </c>
    </row>
    <row r="76" spans="7:13" ht="15" thickBot="1" x14ac:dyDescent="0.35">
      <c r="G76" s="6">
        <v>73</v>
      </c>
      <c r="H76" s="7">
        <f t="shared" si="7"/>
        <v>2314.738696384929</v>
      </c>
      <c r="I76" s="7">
        <f t="shared" si="8"/>
        <v>1412.4323423182086</v>
      </c>
      <c r="J76" s="7">
        <f t="shared" si="9"/>
        <v>718.48635406672042</v>
      </c>
      <c r="K76" s="7"/>
      <c r="L76" s="13">
        <v>183.82</v>
      </c>
      <c r="M76" s="15">
        <f t="shared" si="5"/>
        <v>218014.89179738751</v>
      </c>
    </row>
    <row r="77" spans="7:13" ht="15" thickBot="1" x14ac:dyDescent="0.35">
      <c r="G77" s="6">
        <v>74</v>
      </c>
      <c r="H77" s="7">
        <f t="shared" si="7"/>
        <v>2314.738696384929</v>
      </c>
      <c r="I77" s="7">
        <f t="shared" si="8"/>
        <v>1407.7928429762496</v>
      </c>
      <c r="J77" s="7">
        <f t="shared" si="9"/>
        <v>723.1258534086794</v>
      </c>
      <c r="K77" s="7"/>
      <c r="L77" s="13">
        <v>183.82</v>
      </c>
      <c r="M77" s="15">
        <f t="shared" si="5"/>
        <v>217291.76594397883</v>
      </c>
    </row>
    <row r="78" spans="7:13" ht="15" thickBot="1" x14ac:dyDescent="0.35">
      <c r="G78" s="6">
        <v>75</v>
      </c>
      <c r="H78" s="7">
        <f t="shared" si="7"/>
        <v>2314.738696384929</v>
      </c>
      <c r="I78" s="7">
        <f t="shared" si="8"/>
        <v>1403.1233848827817</v>
      </c>
      <c r="J78" s="7">
        <f t="shared" si="9"/>
        <v>727.79531150214734</v>
      </c>
      <c r="K78" s="7"/>
      <c r="L78" s="13">
        <v>183.82</v>
      </c>
      <c r="M78" s="15">
        <f t="shared" si="5"/>
        <v>216563.97063247667</v>
      </c>
    </row>
    <row r="79" spans="7:13" ht="15" thickBot="1" x14ac:dyDescent="0.35">
      <c r="G79" s="6">
        <v>76</v>
      </c>
      <c r="H79" s="7">
        <f t="shared" si="7"/>
        <v>2314.738696384929</v>
      </c>
      <c r="I79" s="7">
        <f t="shared" si="8"/>
        <v>1398.423774584433</v>
      </c>
      <c r="J79" s="7">
        <f t="shared" si="9"/>
        <v>732.49492180049606</v>
      </c>
      <c r="K79" s="7"/>
      <c r="L79" s="13">
        <v>183.82</v>
      </c>
      <c r="M79" s="15">
        <f t="shared" si="5"/>
        <v>215831.47571067617</v>
      </c>
    </row>
    <row r="80" spans="7:13" ht="15" thickBot="1" x14ac:dyDescent="0.35">
      <c r="G80" s="6">
        <v>77</v>
      </c>
      <c r="H80" s="7">
        <f t="shared" si="7"/>
        <v>2314.738696384929</v>
      </c>
      <c r="I80" s="7">
        <f t="shared" si="8"/>
        <v>1393.6938173786402</v>
      </c>
      <c r="J80" s="7">
        <f t="shared" si="9"/>
        <v>737.2248790062888</v>
      </c>
      <c r="K80" s="7"/>
      <c r="L80" s="13">
        <v>183.82</v>
      </c>
      <c r="M80" s="15">
        <f t="shared" si="5"/>
        <v>215094.25083166987</v>
      </c>
    </row>
    <row r="81" spans="7:13" ht="15" thickBot="1" x14ac:dyDescent="0.35">
      <c r="G81" s="6">
        <v>78</v>
      </c>
      <c r="H81" s="7">
        <f t="shared" si="7"/>
        <v>2314.738696384929</v>
      </c>
      <c r="I81" s="7">
        <f t="shared" si="8"/>
        <v>1388.9333173055825</v>
      </c>
      <c r="J81" s="7">
        <f t="shared" si="9"/>
        <v>741.98537907934656</v>
      </c>
      <c r="K81" s="7"/>
      <c r="L81" s="13">
        <v>183.82</v>
      </c>
      <c r="M81" s="15">
        <f t="shared" si="5"/>
        <v>214352.26545259051</v>
      </c>
    </row>
    <row r="82" spans="7:13" ht="15" thickBot="1" x14ac:dyDescent="0.35">
      <c r="G82" s="6">
        <v>79</v>
      </c>
      <c r="H82" s="7">
        <f t="shared" si="7"/>
        <v>2314.738696384929</v>
      </c>
      <c r="I82" s="7">
        <f t="shared" si="8"/>
        <v>1384.1420771400635</v>
      </c>
      <c r="J82" s="7">
        <f t="shared" si="9"/>
        <v>746.77661924486551</v>
      </c>
      <c r="K82" s="7"/>
      <c r="L82" s="13">
        <v>183.82</v>
      </c>
      <c r="M82" s="15">
        <f t="shared" si="5"/>
        <v>213605.48883334565</v>
      </c>
    </row>
    <row r="83" spans="7:13" ht="15" thickBot="1" x14ac:dyDescent="0.35">
      <c r="G83" s="6">
        <v>80</v>
      </c>
      <c r="H83" s="7">
        <f t="shared" si="7"/>
        <v>2314.738696384929</v>
      </c>
      <c r="I83" s="7">
        <f t="shared" si="8"/>
        <v>1379.3198983833393</v>
      </c>
      <c r="J83" s="7">
        <f t="shared" si="9"/>
        <v>751.59879800158978</v>
      </c>
      <c r="K83" s="7"/>
      <c r="L83" s="13">
        <v>183.82</v>
      </c>
      <c r="M83" s="15">
        <f t="shared" si="5"/>
        <v>212853.89003534405</v>
      </c>
    </row>
    <row r="84" spans="7:13" ht="15" thickBot="1" x14ac:dyDescent="0.35">
      <c r="G84" s="6">
        <v>81</v>
      </c>
      <c r="H84" s="7">
        <f t="shared" si="7"/>
        <v>2314.738696384929</v>
      </c>
      <c r="I84" s="7">
        <f t="shared" si="8"/>
        <v>1374.4665812548949</v>
      </c>
      <c r="J84" s="7">
        <f t="shared" si="9"/>
        <v>756.45211513003414</v>
      </c>
      <c r="K84" s="7"/>
      <c r="L84" s="13">
        <v>183.82</v>
      </c>
      <c r="M84" s="15">
        <f t="shared" si="5"/>
        <v>212097.43792021403</v>
      </c>
    </row>
    <row r="85" spans="7:13" ht="15" thickBot="1" x14ac:dyDescent="0.35">
      <c r="G85" s="6">
        <v>82</v>
      </c>
      <c r="H85" s="7">
        <f t="shared" si="7"/>
        <v>2314.738696384929</v>
      </c>
      <c r="I85" s="7">
        <f t="shared" si="8"/>
        <v>1369.5819246841686</v>
      </c>
      <c r="J85" s="7">
        <f t="shared" si="9"/>
        <v>761.33677170076044</v>
      </c>
      <c r="K85" s="7"/>
      <c r="L85" s="13">
        <v>183.82</v>
      </c>
      <c r="M85" s="15">
        <f t="shared" ref="M85:M148" si="10">M84-J85</f>
        <v>211336.10114851326</v>
      </c>
    </row>
    <row r="86" spans="7:13" ht="15" thickBot="1" x14ac:dyDescent="0.35">
      <c r="G86" s="6">
        <v>83</v>
      </c>
      <c r="H86" s="7">
        <f t="shared" si="7"/>
        <v>2314.738696384929</v>
      </c>
      <c r="I86" s="7">
        <f t="shared" si="8"/>
        <v>1364.66572630222</v>
      </c>
      <c r="J86" s="7">
        <f t="shared" si="9"/>
        <v>766.252970082709</v>
      </c>
      <c r="K86" s="7"/>
      <c r="L86" s="13">
        <v>183.82</v>
      </c>
      <c r="M86" s="15">
        <f t="shared" si="10"/>
        <v>210569.84817843055</v>
      </c>
    </row>
    <row r="87" spans="7:13" ht="15" thickBot="1" x14ac:dyDescent="0.35">
      <c r="G87" s="6">
        <v>84</v>
      </c>
      <c r="H87" s="7">
        <f t="shared" si="7"/>
        <v>2314.738696384929</v>
      </c>
      <c r="I87" s="7">
        <f t="shared" si="8"/>
        <v>1359.7177824333478</v>
      </c>
      <c r="J87" s="7">
        <f t="shared" si="9"/>
        <v>771.20091395158124</v>
      </c>
      <c r="K87" s="7"/>
      <c r="L87" s="13">
        <v>183.82</v>
      </c>
      <c r="M87" s="15">
        <f t="shared" si="10"/>
        <v>209798.64726447896</v>
      </c>
    </row>
    <row r="88" spans="7:13" ht="15" thickBot="1" x14ac:dyDescent="0.35">
      <c r="G88" s="6">
        <v>85</v>
      </c>
      <c r="H88" s="7">
        <f t="shared" si="7"/>
        <v>2314.738696384929</v>
      </c>
      <c r="I88" s="7">
        <f t="shared" si="8"/>
        <v>1354.7378880866497</v>
      </c>
      <c r="J88" s="7">
        <f t="shared" si="9"/>
        <v>776.18080829827932</v>
      </c>
      <c r="K88" s="7"/>
      <c r="L88" s="13">
        <v>183.82</v>
      </c>
      <c r="M88" s="15">
        <f t="shared" si="10"/>
        <v>209022.46645618067</v>
      </c>
    </row>
    <row r="89" spans="7:13" ht="15" thickBot="1" x14ac:dyDescent="0.35">
      <c r="G89" s="6">
        <v>86</v>
      </c>
      <c r="H89" s="7">
        <f t="shared" si="7"/>
        <v>2314.738696384929</v>
      </c>
      <c r="I89" s="7">
        <f t="shared" si="8"/>
        <v>1349.7258369475314</v>
      </c>
      <c r="J89" s="7">
        <f t="shared" si="9"/>
        <v>781.1928594373976</v>
      </c>
      <c r="K89" s="7"/>
      <c r="L89" s="13">
        <v>183.82</v>
      </c>
      <c r="M89" s="15">
        <f t="shared" si="10"/>
        <v>208241.27359674327</v>
      </c>
    </row>
    <row r="90" spans="7:13" ht="15" thickBot="1" x14ac:dyDescent="0.35">
      <c r="G90" s="6">
        <v>87</v>
      </c>
      <c r="H90" s="7">
        <f t="shared" si="7"/>
        <v>2314.738696384929</v>
      </c>
      <c r="I90" s="7">
        <f t="shared" si="8"/>
        <v>1344.681421369158</v>
      </c>
      <c r="J90" s="7">
        <f t="shared" si="9"/>
        <v>786.23727501577105</v>
      </c>
      <c r="K90" s="7"/>
      <c r="L90" s="13">
        <v>183.82</v>
      </c>
      <c r="M90" s="15">
        <f t="shared" si="10"/>
        <v>207455.0363217275</v>
      </c>
    </row>
    <row r="91" spans="7:13" ht="15" thickBot="1" x14ac:dyDescent="0.35">
      <c r="G91" s="6">
        <v>88</v>
      </c>
      <c r="H91" s="7">
        <f t="shared" si="7"/>
        <v>2314.738696384929</v>
      </c>
      <c r="I91" s="7">
        <f t="shared" si="8"/>
        <v>1339.6044323638519</v>
      </c>
      <c r="J91" s="7">
        <f t="shared" si="9"/>
        <v>791.31426402107718</v>
      </c>
      <c r="K91" s="7"/>
      <c r="L91" s="13">
        <v>183.82</v>
      </c>
      <c r="M91" s="15">
        <f t="shared" si="10"/>
        <v>206663.72205770641</v>
      </c>
    </row>
    <row r="92" spans="7:13" ht="15" thickBot="1" x14ac:dyDescent="0.35">
      <c r="G92" s="6">
        <v>89</v>
      </c>
      <c r="H92" s="7">
        <f t="shared" si="7"/>
        <v>2314.738696384929</v>
      </c>
      <c r="I92" s="7">
        <f t="shared" si="8"/>
        <v>1334.4946595944339</v>
      </c>
      <c r="J92" s="7">
        <f t="shared" si="9"/>
        <v>796.42403679049517</v>
      </c>
      <c r="K92" s="7"/>
      <c r="L92" s="13">
        <v>183.82</v>
      </c>
      <c r="M92" s="15">
        <f t="shared" si="10"/>
        <v>205867.29802091591</v>
      </c>
    </row>
    <row r="93" spans="7:13" ht="15" thickBot="1" x14ac:dyDescent="0.35">
      <c r="G93" s="6">
        <v>90</v>
      </c>
      <c r="H93" s="7">
        <f t="shared" si="7"/>
        <v>2314.738696384929</v>
      </c>
      <c r="I93" s="7">
        <f t="shared" si="8"/>
        <v>1329.3518913655098</v>
      </c>
      <c r="J93" s="7">
        <f t="shared" si="9"/>
        <v>801.56680501941923</v>
      </c>
      <c r="K93" s="7"/>
      <c r="L93" s="13">
        <v>183.82</v>
      </c>
      <c r="M93" s="15">
        <f t="shared" si="10"/>
        <v>205065.73121589649</v>
      </c>
    </row>
    <row r="94" spans="7:13" ht="15" thickBot="1" x14ac:dyDescent="0.35">
      <c r="G94" s="6">
        <v>91</v>
      </c>
      <c r="H94" s="7">
        <f t="shared" si="7"/>
        <v>2314.738696384929</v>
      </c>
      <c r="I94" s="7">
        <f t="shared" si="8"/>
        <v>1324.1759146146996</v>
      </c>
      <c r="J94" s="7">
        <f t="shared" si="9"/>
        <v>806.74278177022939</v>
      </c>
      <c r="K94" s="7"/>
      <c r="L94" s="13">
        <v>183.82</v>
      </c>
      <c r="M94" s="15">
        <f t="shared" si="10"/>
        <v>204258.98843412625</v>
      </c>
    </row>
    <row r="95" spans="7:13" ht="15" thickBot="1" x14ac:dyDescent="0.35">
      <c r="G95" s="6">
        <v>92</v>
      </c>
      <c r="H95" s="7">
        <f t="shared" si="7"/>
        <v>2314.738696384929</v>
      </c>
      <c r="I95" s="7">
        <f t="shared" si="8"/>
        <v>1318.9665149038103</v>
      </c>
      <c r="J95" s="7">
        <f t="shared" si="9"/>
        <v>811.95218148111871</v>
      </c>
      <c r="K95" s="7"/>
      <c r="L95" s="13">
        <v>183.82</v>
      </c>
      <c r="M95" s="15">
        <f t="shared" si="10"/>
        <v>203447.03625264514</v>
      </c>
    </row>
    <row r="96" spans="7:13" ht="15" thickBot="1" x14ac:dyDescent="0.35">
      <c r="G96" s="6">
        <v>93</v>
      </c>
      <c r="H96" s="7">
        <f t="shared" si="7"/>
        <v>2314.738696384929</v>
      </c>
      <c r="I96" s="7">
        <f t="shared" si="8"/>
        <v>1313.7234764099519</v>
      </c>
      <c r="J96" s="7">
        <f t="shared" si="9"/>
        <v>817.19521997497714</v>
      </c>
      <c r="K96" s="7"/>
      <c r="L96" s="13">
        <v>183.82</v>
      </c>
      <c r="M96" s="15">
        <f t="shared" si="10"/>
        <v>202629.84103267017</v>
      </c>
    </row>
    <row r="97" spans="7:13" ht="15" thickBot="1" x14ac:dyDescent="0.35">
      <c r="G97" s="6">
        <v>94</v>
      </c>
      <c r="H97" s="7">
        <f t="shared" si="7"/>
        <v>2314.738696384929</v>
      </c>
      <c r="I97" s="7">
        <f t="shared" si="8"/>
        <v>1308.4465819165962</v>
      </c>
      <c r="J97" s="7">
        <f t="shared" si="9"/>
        <v>822.47211446833285</v>
      </c>
      <c r="K97" s="7"/>
      <c r="L97" s="13">
        <v>183.82</v>
      </c>
      <c r="M97" s="15">
        <f t="shared" si="10"/>
        <v>201807.36891820183</v>
      </c>
    </row>
    <row r="98" spans="7:13" ht="15" thickBot="1" x14ac:dyDescent="0.35">
      <c r="G98" s="6">
        <v>95</v>
      </c>
      <c r="H98" s="7">
        <f t="shared" si="7"/>
        <v>2314.738696384929</v>
      </c>
      <c r="I98" s="7">
        <f t="shared" si="8"/>
        <v>1303.1356128045772</v>
      </c>
      <c r="J98" s="7">
        <f t="shared" si="9"/>
        <v>827.78308358035179</v>
      </c>
      <c r="K98" s="7"/>
      <c r="L98" s="13">
        <v>183.82</v>
      </c>
      <c r="M98" s="15">
        <f t="shared" si="10"/>
        <v>200979.58583462148</v>
      </c>
    </row>
    <row r="99" spans="7:13" ht="15" thickBot="1" x14ac:dyDescent="0.35">
      <c r="G99" s="6">
        <v>96</v>
      </c>
      <c r="H99" s="7">
        <f t="shared" si="7"/>
        <v>2314.738696384929</v>
      </c>
      <c r="I99" s="7">
        <f t="shared" si="8"/>
        <v>1297.7903490430347</v>
      </c>
      <c r="J99" s="7">
        <f t="shared" si="9"/>
        <v>833.12834734189437</v>
      </c>
      <c r="K99" s="7"/>
      <c r="L99" s="13">
        <v>183.82</v>
      </c>
      <c r="M99" s="15">
        <f t="shared" si="10"/>
        <v>200146.45748727958</v>
      </c>
    </row>
    <row r="100" spans="7:13" ht="15" thickBot="1" x14ac:dyDescent="0.35">
      <c r="G100" s="6">
        <v>97</v>
      </c>
      <c r="H100" s="7">
        <f t="shared" si="7"/>
        <v>2314.738696384929</v>
      </c>
      <c r="I100" s="7">
        <f t="shared" si="8"/>
        <v>1292.4105691802968</v>
      </c>
      <c r="J100" s="7">
        <f t="shared" si="9"/>
        <v>838.50812720463227</v>
      </c>
      <c r="K100" s="7"/>
      <c r="L100" s="13">
        <v>183.82</v>
      </c>
      <c r="M100" s="15">
        <f t="shared" si="10"/>
        <v>199307.94936007494</v>
      </c>
    </row>
    <row r="101" spans="7:13" ht="15" thickBot="1" x14ac:dyDescent="0.35">
      <c r="G101" s="6">
        <v>98</v>
      </c>
      <c r="H101" s="7">
        <f t="shared" si="7"/>
        <v>2314.738696384929</v>
      </c>
      <c r="I101" s="7">
        <f t="shared" si="8"/>
        <v>1286.9960503347072</v>
      </c>
      <c r="J101" s="7">
        <f t="shared" si="9"/>
        <v>843.92264605022183</v>
      </c>
      <c r="K101" s="7"/>
      <c r="L101" s="13">
        <v>183.82</v>
      </c>
      <c r="M101" s="15">
        <f t="shared" si="10"/>
        <v>198464.02671402472</v>
      </c>
    </row>
    <row r="102" spans="7:13" ht="15" thickBot="1" x14ac:dyDescent="0.35">
      <c r="G102" s="6">
        <v>99</v>
      </c>
      <c r="H102" s="7">
        <f t="shared" si="7"/>
        <v>2314.738696384929</v>
      </c>
      <c r="I102" s="7">
        <f t="shared" si="8"/>
        <v>1281.5465681853905</v>
      </c>
      <c r="J102" s="7">
        <f t="shared" si="9"/>
        <v>849.37212819953857</v>
      </c>
      <c r="K102" s="7"/>
      <c r="L102" s="13">
        <v>183.82</v>
      </c>
      <c r="M102" s="15">
        <f t="shared" si="10"/>
        <v>197614.65458582516</v>
      </c>
    </row>
    <row r="103" spans="7:13" ht="15" thickBot="1" x14ac:dyDescent="0.35">
      <c r="G103" s="6">
        <v>100</v>
      </c>
      <c r="H103" s="7">
        <f t="shared" si="7"/>
        <v>2314.738696384929</v>
      </c>
      <c r="I103" s="7">
        <f t="shared" si="8"/>
        <v>1276.0618969629581</v>
      </c>
      <c r="J103" s="7">
        <f t="shared" si="9"/>
        <v>854.85679942197089</v>
      </c>
      <c r="K103" s="7"/>
      <c r="L103" s="13">
        <v>183.82</v>
      </c>
      <c r="M103" s="15">
        <f t="shared" si="10"/>
        <v>196759.79778640319</v>
      </c>
    </row>
    <row r="104" spans="7:13" ht="15" thickBot="1" x14ac:dyDescent="0.35">
      <c r="G104" s="6">
        <v>101</v>
      </c>
      <c r="H104" s="7">
        <f t="shared" si="7"/>
        <v>2314.738696384929</v>
      </c>
      <c r="I104" s="7">
        <f t="shared" si="8"/>
        <v>1270.5418094401559</v>
      </c>
      <c r="J104" s="7">
        <f t="shared" si="9"/>
        <v>860.3768869447731</v>
      </c>
      <c r="K104" s="7"/>
      <c r="L104" s="13">
        <v>183.82</v>
      </c>
      <c r="M104" s="15">
        <f t="shared" si="10"/>
        <v>195899.4208994584</v>
      </c>
    </row>
    <row r="105" spans="7:13" ht="15" thickBot="1" x14ac:dyDescent="0.35">
      <c r="G105" s="6">
        <v>102</v>
      </c>
      <c r="H105" s="7">
        <f t="shared" si="7"/>
        <v>2314.738696384929</v>
      </c>
      <c r="I105" s="7">
        <f t="shared" si="8"/>
        <v>1264.9860769224492</v>
      </c>
      <c r="J105" s="7">
        <f t="shared" si="9"/>
        <v>865.93261946247981</v>
      </c>
      <c r="K105" s="7"/>
      <c r="L105" s="13">
        <v>183.82</v>
      </c>
      <c r="M105" s="15">
        <f t="shared" si="10"/>
        <v>195033.48827999592</v>
      </c>
    </row>
    <row r="106" spans="7:13" ht="15" thickBot="1" x14ac:dyDescent="0.35">
      <c r="G106" s="6">
        <v>103</v>
      </c>
      <c r="H106" s="7">
        <f t="shared" si="7"/>
        <v>2314.738696384929</v>
      </c>
      <c r="I106" s="7">
        <f t="shared" si="8"/>
        <v>1259.3944692385489</v>
      </c>
      <c r="J106" s="7">
        <f t="shared" si="9"/>
        <v>871.5242271463801</v>
      </c>
      <c r="K106" s="7"/>
      <c r="L106" s="13">
        <v>183.82</v>
      </c>
      <c r="M106" s="15">
        <f t="shared" si="10"/>
        <v>194161.96405284954</v>
      </c>
    </row>
    <row r="107" spans="7:13" ht="15" thickBot="1" x14ac:dyDescent="0.35">
      <c r="G107" s="6">
        <v>104</v>
      </c>
      <c r="H107" s="7">
        <f t="shared" si="7"/>
        <v>2314.738696384929</v>
      </c>
      <c r="I107" s="7">
        <f t="shared" si="8"/>
        <v>1253.7667547308752</v>
      </c>
      <c r="J107" s="7">
        <f t="shared" si="9"/>
        <v>877.15194165405387</v>
      </c>
      <c r="K107" s="7"/>
      <c r="L107" s="13">
        <v>183.82</v>
      </c>
      <c r="M107" s="15">
        <f t="shared" si="10"/>
        <v>193284.8121111955</v>
      </c>
    </row>
    <row r="108" spans="7:13" ht="15" thickBot="1" x14ac:dyDescent="0.35">
      <c r="G108" s="6">
        <v>105</v>
      </c>
      <c r="H108" s="7">
        <f t="shared" si="7"/>
        <v>2314.738696384929</v>
      </c>
      <c r="I108" s="7">
        <f t="shared" si="8"/>
        <v>1248.10270024596</v>
      </c>
      <c r="J108" s="7">
        <f t="shared" si="9"/>
        <v>882.81599613896901</v>
      </c>
      <c r="K108" s="7"/>
      <c r="L108" s="13">
        <v>183.82</v>
      </c>
      <c r="M108" s="15">
        <f t="shared" si="10"/>
        <v>192401.99611505654</v>
      </c>
    </row>
    <row r="109" spans="7:13" ht="15" thickBot="1" x14ac:dyDescent="0.35">
      <c r="G109" s="6">
        <v>106</v>
      </c>
      <c r="H109" s="7">
        <f t="shared" si="7"/>
        <v>2314.738696384929</v>
      </c>
      <c r="I109" s="7">
        <f t="shared" si="8"/>
        <v>1242.4020711247879</v>
      </c>
      <c r="J109" s="7">
        <f t="shared" si="9"/>
        <v>888.51662526014115</v>
      </c>
      <c r="K109" s="7"/>
      <c r="L109" s="13">
        <v>183.82</v>
      </c>
      <c r="M109" s="15">
        <f t="shared" si="10"/>
        <v>191513.47948979639</v>
      </c>
    </row>
    <row r="110" spans="7:13" ht="15" thickBot="1" x14ac:dyDescent="0.35">
      <c r="G110" s="6">
        <v>107</v>
      </c>
      <c r="H110" s="7">
        <f t="shared" si="7"/>
        <v>2314.738696384929</v>
      </c>
      <c r="I110" s="7">
        <f t="shared" si="8"/>
        <v>1236.664631193074</v>
      </c>
      <c r="J110" s="7">
        <f t="shared" si="9"/>
        <v>894.25406519185503</v>
      </c>
      <c r="K110" s="7"/>
      <c r="L110" s="13">
        <v>183.82</v>
      </c>
      <c r="M110" s="15">
        <f t="shared" si="10"/>
        <v>190619.22542460452</v>
      </c>
    </row>
    <row r="111" spans="7:13" ht="15" thickBot="1" x14ac:dyDescent="0.35">
      <c r="G111" s="6">
        <v>108</v>
      </c>
      <c r="H111" s="7">
        <f t="shared" si="7"/>
        <v>2314.738696384929</v>
      </c>
      <c r="I111" s="7">
        <f t="shared" si="8"/>
        <v>1230.8901427514793</v>
      </c>
      <c r="J111" s="7">
        <f t="shared" si="9"/>
        <v>900.02855363344975</v>
      </c>
      <c r="K111" s="7"/>
      <c r="L111" s="13">
        <v>183.82</v>
      </c>
      <c r="M111" s="15">
        <f t="shared" si="10"/>
        <v>189719.19687097106</v>
      </c>
    </row>
    <row r="112" spans="7:13" ht="15" thickBot="1" x14ac:dyDescent="0.35">
      <c r="G112" s="6">
        <v>109</v>
      </c>
      <c r="H112" s="7">
        <f t="shared" si="7"/>
        <v>2314.738696384929</v>
      </c>
      <c r="I112" s="7">
        <f t="shared" si="8"/>
        <v>1225.0783665657634</v>
      </c>
      <c r="J112" s="7">
        <f t="shared" si="9"/>
        <v>905.84032981916562</v>
      </c>
      <c r="K112" s="7"/>
      <c r="L112" s="13">
        <v>183.82</v>
      </c>
      <c r="M112" s="15">
        <f t="shared" si="10"/>
        <v>188813.35654115191</v>
      </c>
    </row>
    <row r="113" spans="7:13" ht="15" thickBot="1" x14ac:dyDescent="0.35">
      <c r="G113" s="6">
        <v>110</v>
      </c>
      <c r="H113" s="7">
        <f t="shared" si="7"/>
        <v>2314.738696384929</v>
      </c>
      <c r="I113" s="7">
        <f t="shared" si="8"/>
        <v>1219.2290618568734</v>
      </c>
      <c r="J113" s="7">
        <f t="shared" si="9"/>
        <v>911.68963452805565</v>
      </c>
      <c r="K113" s="7"/>
      <c r="L113" s="13">
        <v>183.82</v>
      </c>
      <c r="M113" s="15">
        <f t="shared" si="10"/>
        <v>187901.66690662384</v>
      </c>
    </row>
    <row r="114" spans="7:13" ht="15" thickBot="1" x14ac:dyDescent="0.35">
      <c r="G114" s="6">
        <v>111</v>
      </c>
      <c r="H114" s="7">
        <f t="shared" si="7"/>
        <v>2314.738696384929</v>
      </c>
      <c r="I114" s="7">
        <f t="shared" si="8"/>
        <v>1213.3419862909664</v>
      </c>
      <c r="J114" s="7">
        <f t="shared" si="9"/>
        <v>917.57671009396267</v>
      </c>
      <c r="K114" s="7"/>
      <c r="L114" s="13">
        <v>183.82</v>
      </c>
      <c r="M114" s="15">
        <f t="shared" si="10"/>
        <v>186984.09019652987</v>
      </c>
    </row>
    <row r="115" spans="7:13" ht="15" thickBot="1" x14ac:dyDescent="0.35">
      <c r="G115" s="6">
        <v>112</v>
      </c>
      <c r="H115" s="7">
        <f t="shared" si="7"/>
        <v>2314.738696384929</v>
      </c>
      <c r="I115" s="7">
        <f t="shared" si="8"/>
        <v>1207.4168959693727</v>
      </c>
      <c r="J115" s="7">
        <f t="shared" si="9"/>
        <v>923.50180041555632</v>
      </c>
      <c r="K115" s="7"/>
      <c r="L115" s="13">
        <v>183.82</v>
      </c>
      <c r="M115" s="15">
        <f t="shared" si="10"/>
        <v>186060.58839611433</v>
      </c>
    </row>
    <row r="116" spans="7:13" ht="15" thickBot="1" x14ac:dyDescent="0.35">
      <c r="G116" s="6">
        <v>113</v>
      </c>
      <c r="H116" s="7">
        <f t="shared" si="7"/>
        <v>2314.738696384929</v>
      </c>
      <c r="I116" s="7">
        <f t="shared" si="8"/>
        <v>1201.4535454184895</v>
      </c>
      <c r="J116" s="7">
        <f t="shared" si="9"/>
        <v>929.46515096643952</v>
      </c>
      <c r="K116" s="7"/>
      <c r="L116" s="13">
        <v>183.82</v>
      </c>
      <c r="M116" s="15">
        <f t="shared" si="10"/>
        <v>185131.1232451479</v>
      </c>
    </row>
    <row r="117" spans="7:13" ht="15" thickBot="1" x14ac:dyDescent="0.35">
      <c r="G117" s="6">
        <v>114</v>
      </c>
      <c r="H117" s="7">
        <f t="shared" si="7"/>
        <v>2314.738696384929</v>
      </c>
      <c r="I117" s="7">
        <f t="shared" si="8"/>
        <v>1195.4516875796112</v>
      </c>
      <c r="J117" s="7">
        <f t="shared" si="9"/>
        <v>935.46700880531785</v>
      </c>
      <c r="K117" s="7"/>
      <c r="L117" s="13">
        <v>183.82</v>
      </c>
      <c r="M117" s="15">
        <f t="shared" si="10"/>
        <v>184195.65623634259</v>
      </c>
    </row>
    <row r="118" spans="7:13" ht="15" thickBot="1" x14ac:dyDescent="0.35">
      <c r="G118" s="6">
        <v>115</v>
      </c>
      <c r="H118" s="7">
        <f t="shared" si="7"/>
        <v>2314.738696384929</v>
      </c>
      <c r="I118" s="7">
        <f t="shared" si="8"/>
        <v>1189.4110737986937</v>
      </c>
      <c r="J118" s="7">
        <f t="shared" si="9"/>
        <v>941.50762258623536</v>
      </c>
      <c r="K118" s="7"/>
      <c r="L118" s="13">
        <v>183.82</v>
      </c>
      <c r="M118" s="15">
        <f t="shared" si="10"/>
        <v>183254.14861375635</v>
      </c>
    </row>
    <row r="119" spans="7:13" ht="15" thickBot="1" x14ac:dyDescent="0.35">
      <c r="G119" s="6">
        <v>116</v>
      </c>
      <c r="H119" s="7">
        <f t="shared" si="7"/>
        <v>2314.738696384929</v>
      </c>
      <c r="I119" s="7">
        <f t="shared" si="8"/>
        <v>1183.3314538160537</v>
      </c>
      <c r="J119" s="7">
        <f t="shared" si="9"/>
        <v>947.58724256887535</v>
      </c>
      <c r="K119" s="7"/>
      <c r="L119" s="13">
        <v>183.82</v>
      </c>
      <c r="M119" s="15">
        <f t="shared" si="10"/>
        <v>182306.56137118748</v>
      </c>
    </row>
    <row r="120" spans="7:13" ht="15" thickBot="1" x14ac:dyDescent="0.35">
      <c r="G120" s="6">
        <v>117</v>
      </c>
      <c r="H120" s="7">
        <f t="shared" si="7"/>
        <v>2314.738696384929</v>
      </c>
      <c r="I120" s="7">
        <f t="shared" si="8"/>
        <v>1177.2125757559998</v>
      </c>
      <c r="J120" s="7">
        <f t="shared" si="9"/>
        <v>953.70612062892928</v>
      </c>
      <c r="K120" s="7"/>
      <c r="L120" s="13">
        <v>183.82</v>
      </c>
      <c r="M120" s="15">
        <f t="shared" si="10"/>
        <v>181352.85525055855</v>
      </c>
    </row>
    <row r="121" spans="7:13" ht="15" thickBot="1" x14ac:dyDescent="0.35">
      <c r="G121" s="6">
        <v>118</v>
      </c>
      <c r="H121" s="7">
        <f t="shared" si="7"/>
        <v>2314.738696384929</v>
      </c>
      <c r="I121" s="7">
        <f t="shared" si="8"/>
        <v>1171.0541861163977</v>
      </c>
      <c r="J121" s="7">
        <f t="shared" si="9"/>
        <v>959.86451026853138</v>
      </c>
      <c r="K121" s="7"/>
      <c r="L121" s="13">
        <v>183.82</v>
      </c>
      <c r="M121" s="15">
        <f t="shared" si="10"/>
        <v>180392.99074029003</v>
      </c>
    </row>
    <row r="122" spans="7:13" ht="15" thickBot="1" x14ac:dyDescent="0.35">
      <c r="G122" s="6">
        <v>119</v>
      </c>
      <c r="H122" s="7">
        <f t="shared" si="7"/>
        <v>2314.738696384929</v>
      </c>
      <c r="I122" s="7">
        <f t="shared" si="8"/>
        <v>1164.8560297581669</v>
      </c>
      <c r="J122" s="7">
        <f t="shared" si="9"/>
        <v>966.06266662676217</v>
      </c>
      <c r="K122" s="7"/>
      <c r="L122" s="13">
        <v>183.82</v>
      </c>
      <c r="M122" s="15">
        <f t="shared" si="10"/>
        <v>179426.92807366326</v>
      </c>
    </row>
    <row r="123" spans="7:13" ht="15" thickBot="1" x14ac:dyDescent="0.35">
      <c r="G123" s="6">
        <v>120</v>
      </c>
      <c r="H123" s="7">
        <f t="shared" si="7"/>
        <v>2314.738696384929</v>
      </c>
      <c r="I123" s="7">
        <f t="shared" si="8"/>
        <v>1158.6178498947124</v>
      </c>
      <c r="J123" s="7">
        <f t="shared" si="9"/>
        <v>972.3008464902166</v>
      </c>
      <c r="K123" s="7"/>
      <c r="L123" s="13">
        <v>183.82</v>
      </c>
      <c r="M123" s="15">
        <f t="shared" si="10"/>
        <v>178454.62722717304</v>
      </c>
    </row>
    <row r="124" spans="7:13" ht="15" thickBot="1" x14ac:dyDescent="0.35">
      <c r="G124" s="6">
        <v>121</v>
      </c>
      <c r="H124" s="7">
        <f t="shared" si="7"/>
        <v>2314.738696384929</v>
      </c>
      <c r="I124" s="7">
        <f t="shared" si="8"/>
        <v>1152.3393880812837</v>
      </c>
      <c r="J124" s="7">
        <f t="shared" si="9"/>
        <v>978.57930830364535</v>
      </c>
      <c r="K124" s="7"/>
      <c r="L124" s="13">
        <v>183.82</v>
      </c>
      <c r="M124" s="15">
        <f t="shared" si="10"/>
        <v>177476.04791886939</v>
      </c>
    </row>
    <row r="125" spans="7:13" ht="15" thickBot="1" x14ac:dyDescent="0.35">
      <c r="G125" s="6">
        <v>122</v>
      </c>
      <c r="H125" s="7">
        <f t="shared" si="7"/>
        <v>2314.738696384929</v>
      </c>
      <c r="I125" s="7">
        <f t="shared" si="8"/>
        <v>1146.0203842042695</v>
      </c>
      <c r="J125" s="7">
        <f t="shared" si="9"/>
        <v>984.89831218065956</v>
      </c>
      <c r="K125" s="7"/>
      <c r="L125" s="13">
        <v>183.82</v>
      </c>
      <c r="M125" s="15">
        <f t="shared" si="10"/>
        <v>176491.14960668873</v>
      </c>
    </row>
    <row r="126" spans="7:13" ht="15" thickBot="1" x14ac:dyDescent="0.35">
      <c r="G126" s="6">
        <v>123</v>
      </c>
      <c r="H126" s="7">
        <f t="shared" si="7"/>
        <v>2314.738696384929</v>
      </c>
      <c r="I126" s="7">
        <f t="shared" si="8"/>
        <v>1139.6605764704202</v>
      </c>
      <c r="J126" s="7">
        <f t="shared" si="9"/>
        <v>991.25811991450882</v>
      </c>
      <c r="K126" s="7"/>
      <c r="L126" s="13">
        <v>183.82</v>
      </c>
      <c r="M126" s="15">
        <f t="shared" si="10"/>
        <v>175499.89148677423</v>
      </c>
    </row>
    <row r="127" spans="7:13" ht="15" thickBot="1" x14ac:dyDescent="0.35">
      <c r="G127" s="6">
        <v>124</v>
      </c>
      <c r="H127" s="7">
        <f t="shared" si="7"/>
        <v>2314.738696384929</v>
      </c>
      <c r="I127" s="7">
        <f t="shared" si="8"/>
        <v>1133.2597013960026</v>
      </c>
      <c r="J127" s="7">
        <f t="shared" si="9"/>
        <v>997.65899498892645</v>
      </c>
      <c r="K127" s="7"/>
      <c r="L127" s="13">
        <v>183.82</v>
      </c>
      <c r="M127" s="15">
        <f t="shared" si="10"/>
        <v>174502.23249178531</v>
      </c>
    </row>
    <row r="128" spans="7:13" ht="15" thickBot="1" x14ac:dyDescent="0.35">
      <c r="G128" s="6">
        <v>125</v>
      </c>
      <c r="H128" s="7">
        <f t="shared" si="7"/>
        <v>2314.738696384929</v>
      </c>
      <c r="I128" s="7">
        <f t="shared" si="8"/>
        <v>1126.8174937958836</v>
      </c>
      <c r="J128" s="7">
        <f t="shared" si="9"/>
        <v>1004.1012025890454</v>
      </c>
      <c r="K128" s="7"/>
      <c r="L128" s="13">
        <v>183.82</v>
      </c>
      <c r="M128" s="15">
        <f t="shared" si="10"/>
        <v>173498.13128919626</v>
      </c>
    </row>
    <row r="129" spans="7:13" ht="15" thickBot="1" x14ac:dyDescent="0.35">
      <c r="G129" s="6">
        <v>126</v>
      </c>
      <c r="H129" s="7">
        <f t="shared" si="7"/>
        <v>2314.738696384929</v>
      </c>
      <c r="I129" s="7">
        <f t="shared" si="8"/>
        <v>1120.3336867725432</v>
      </c>
      <c r="J129" s="7">
        <f t="shared" si="9"/>
        <v>1010.5850096123859</v>
      </c>
      <c r="K129" s="7"/>
      <c r="L129" s="13">
        <v>183.82</v>
      </c>
      <c r="M129" s="15">
        <f t="shared" si="10"/>
        <v>172487.54627958388</v>
      </c>
    </row>
    <row r="130" spans="7:13" ht="15" thickBot="1" x14ac:dyDescent="0.35">
      <c r="G130" s="6">
        <v>127</v>
      </c>
      <c r="H130" s="7">
        <f t="shared" si="7"/>
        <v>2314.738696384929</v>
      </c>
      <c r="I130" s="7">
        <f t="shared" si="8"/>
        <v>1113.8080117050181</v>
      </c>
      <c r="J130" s="7">
        <f t="shared" si="9"/>
        <v>1017.1106846799109</v>
      </c>
      <c r="K130" s="7"/>
      <c r="L130" s="13">
        <v>183.82</v>
      </c>
      <c r="M130" s="15">
        <f t="shared" si="10"/>
        <v>171470.43559490397</v>
      </c>
    </row>
    <row r="131" spans="7:13" ht="15" thickBot="1" x14ac:dyDescent="0.35">
      <c r="G131" s="6">
        <v>128</v>
      </c>
      <c r="H131" s="7">
        <f t="shared" si="7"/>
        <v>2314.738696384929</v>
      </c>
      <c r="I131" s="7">
        <f t="shared" si="8"/>
        <v>1107.2401982377721</v>
      </c>
      <c r="J131" s="7">
        <f t="shared" si="9"/>
        <v>1023.6784981471569</v>
      </c>
      <c r="K131" s="7"/>
      <c r="L131" s="13">
        <v>183.82</v>
      </c>
      <c r="M131" s="15">
        <f t="shared" si="10"/>
        <v>170446.75709675683</v>
      </c>
    </row>
    <row r="132" spans="7:13" ht="15" thickBot="1" x14ac:dyDescent="0.35">
      <c r="G132" s="6">
        <v>129</v>
      </c>
      <c r="H132" s="7">
        <f t="shared" si="7"/>
        <v>2314.738696384929</v>
      </c>
      <c r="I132" s="7">
        <f t="shared" si="8"/>
        <v>1100.629974269496</v>
      </c>
      <c r="J132" s="7">
        <f t="shared" si="9"/>
        <v>1030.2887221154331</v>
      </c>
      <c r="K132" s="7"/>
      <c r="L132" s="13">
        <v>183.82</v>
      </c>
      <c r="M132" s="15">
        <f t="shared" si="10"/>
        <v>169416.46837464141</v>
      </c>
    </row>
    <row r="133" spans="7:13" ht="15" thickBot="1" x14ac:dyDescent="0.35">
      <c r="G133" s="6">
        <v>130</v>
      </c>
      <c r="H133" s="7">
        <f t="shared" ref="H133:H196" si="11">$C$13</f>
        <v>2314.738696384929</v>
      </c>
      <c r="I133" s="7">
        <f t="shared" ref="I133:I196" si="12">M132*$C$8</f>
        <v>1093.9770659418336</v>
      </c>
      <c r="J133" s="7">
        <f t="shared" ref="J133:J196" si="13">H133-I133-L133+K133</f>
        <v>1036.9416304430954</v>
      </c>
      <c r="K133" s="7"/>
      <c r="L133" s="13">
        <v>183.82</v>
      </c>
      <c r="M133" s="15">
        <f t="shared" si="10"/>
        <v>168379.52674419832</v>
      </c>
    </row>
    <row r="134" spans="7:13" ht="15" thickBot="1" x14ac:dyDescent="0.35">
      <c r="G134" s="6">
        <v>131</v>
      </c>
      <c r="H134" s="7">
        <f t="shared" si="11"/>
        <v>2314.738696384929</v>
      </c>
      <c r="I134" s="7">
        <f t="shared" si="12"/>
        <v>1087.281197628037</v>
      </c>
      <c r="J134" s="7">
        <f t="shared" si="13"/>
        <v>1043.637498756892</v>
      </c>
      <c r="K134" s="7"/>
      <c r="L134" s="13">
        <v>183.82</v>
      </c>
      <c r="M134" s="15">
        <f t="shared" si="10"/>
        <v>167335.88924544142</v>
      </c>
    </row>
    <row r="135" spans="7:13" ht="15" thickBot="1" x14ac:dyDescent="0.35">
      <c r="G135" s="6">
        <v>132</v>
      </c>
      <c r="H135" s="7">
        <f t="shared" si="11"/>
        <v>2314.738696384929</v>
      </c>
      <c r="I135" s="7">
        <f t="shared" si="12"/>
        <v>1080.5420919215469</v>
      </c>
      <c r="J135" s="7">
        <f t="shared" si="13"/>
        <v>1050.3766044633821</v>
      </c>
      <c r="K135" s="7"/>
      <c r="L135" s="13">
        <v>183.82</v>
      </c>
      <c r="M135" s="15">
        <f t="shared" si="10"/>
        <v>166285.51264097804</v>
      </c>
    </row>
    <row r="136" spans="7:13" ht="15" thickBot="1" x14ac:dyDescent="0.35">
      <c r="G136" s="6">
        <v>133</v>
      </c>
      <c r="H136" s="7">
        <f t="shared" si="11"/>
        <v>2314.738696384929</v>
      </c>
      <c r="I136" s="7">
        <f t="shared" si="12"/>
        <v>1073.7594696245001</v>
      </c>
      <c r="J136" s="7">
        <f t="shared" si="13"/>
        <v>1057.159226760429</v>
      </c>
      <c r="K136" s="7"/>
      <c r="L136" s="13">
        <v>183.82</v>
      </c>
      <c r="M136" s="15">
        <f t="shared" si="10"/>
        <v>165228.35341421759</v>
      </c>
    </row>
    <row r="137" spans="7:13" ht="15" thickBot="1" x14ac:dyDescent="0.35">
      <c r="G137" s="6">
        <v>134</v>
      </c>
      <c r="H137" s="7">
        <f t="shared" si="11"/>
        <v>2314.738696384929</v>
      </c>
      <c r="I137" s="7">
        <f t="shared" si="12"/>
        <v>1066.9330497361616</v>
      </c>
      <c r="J137" s="7">
        <f t="shared" si="13"/>
        <v>1063.9856466487674</v>
      </c>
      <c r="K137" s="7"/>
      <c r="L137" s="13">
        <v>183.82</v>
      </c>
      <c r="M137" s="15">
        <f t="shared" si="10"/>
        <v>164164.36776756882</v>
      </c>
    </row>
    <row r="138" spans="7:13" ht="15" thickBot="1" x14ac:dyDescent="0.35">
      <c r="G138" s="6">
        <v>135</v>
      </c>
      <c r="H138" s="7">
        <f t="shared" si="11"/>
        <v>2314.738696384929</v>
      </c>
      <c r="I138" s="7">
        <f t="shared" si="12"/>
        <v>1060.0625494412841</v>
      </c>
      <c r="J138" s="7">
        <f t="shared" si="13"/>
        <v>1070.8561469436449</v>
      </c>
      <c r="K138" s="7"/>
      <c r="L138" s="13">
        <v>183.82</v>
      </c>
      <c r="M138" s="15">
        <f t="shared" si="10"/>
        <v>163093.51162062518</v>
      </c>
    </row>
    <row r="139" spans="7:13" ht="15" thickBot="1" x14ac:dyDescent="0.35">
      <c r="G139" s="6">
        <v>136</v>
      </c>
      <c r="H139" s="7">
        <f t="shared" si="11"/>
        <v>2314.738696384929</v>
      </c>
      <c r="I139" s="7">
        <f t="shared" si="12"/>
        <v>1053.147684098391</v>
      </c>
      <c r="J139" s="7">
        <f t="shared" si="13"/>
        <v>1077.7710122865381</v>
      </c>
      <c r="K139" s="7"/>
      <c r="L139" s="13">
        <v>183.82</v>
      </c>
      <c r="M139" s="15">
        <f t="shared" si="10"/>
        <v>162015.74060833864</v>
      </c>
    </row>
    <row r="140" spans="7:13" ht="15" thickBot="1" x14ac:dyDescent="0.35">
      <c r="G140" s="6">
        <v>137</v>
      </c>
      <c r="H140" s="7">
        <f t="shared" si="11"/>
        <v>2314.738696384929</v>
      </c>
      <c r="I140" s="7">
        <f t="shared" si="12"/>
        <v>1046.1881672279821</v>
      </c>
      <c r="J140" s="7">
        <f t="shared" si="13"/>
        <v>1084.7305291569469</v>
      </c>
      <c r="K140" s="7"/>
      <c r="L140" s="13">
        <v>183.82</v>
      </c>
      <c r="M140" s="15">
        <f t="shared" si="10"/>
        <v>160931.01007918169</v>
      </c>
    </row>
    <row r="141" spans="7:13" ht="15" thickBot="1" x14ac:dyDescent="0.35">
      <c r="G141" s="6">
        <v>138</v>
      </c>
      <c r="H141" s="7">
        <f t="shared" si="11"/>
        <v>2314.738696384929</v>
      </c>
      <c r="I141" s="7">
        <f t="shared" si="12"/>
        <v>1039.1837105006675</v>
      </c>
      <c r="J141" s="7">
        <f t="shared" si="13"/>
        <v>1091.7349858842615</v>
      </c>
      <c r="K141" s="7"/>
      <c r="L141" s="13">
        <v>183.82</v>
      </c>
      <c r="M141" s="15">
        <f t="shared" si="10"/>
        <v>159839.27509329744</v>
      </c>
    </row>
    <row r="142" spans="7:13" ht="15" thickBot="1" x14ac:dyDescent="0.35">
      <c r="G142" s="6">
        <v>139</v>
      </c>
      <c r="H142" s="7">
        <f t="shared" si="11"/>
        <v>2314.738696384929</v>
      </c>
      <c r="I142" s="7">
        <f t="shared" si="12"/>
        <v>1032.1340237252202</v>
      </c>
      <c r="J142" s="7">
        <f t="shared" si="13"/>
        <v>1098.7846726597088</v>
      </c>
      <c r="K142" s="7"/>
      <c r="L142" s="13">
        <v>183.82</v>
      </c>
      <c r="M142" s="15">
        <f t="shared" si="10"/>
        <v>158740.49042063774</v>
      </c>
    </row>
    <row r="143" spans="7:13" ht="15" thickBot="1" x14ac:dyDescent="0.35">
      <c r="G143" s="6">
        <v>140</v>
      </c>
      <c r="H143" s="7">
        <f t="shared" si="11"/>
        <v>2314.738696384929</v>
      </c>
      <c r="I143" s="7">
        <f t="shared" si="12"/>
        <v>1025.0388148365544</v>
      </c>
      <c r="J143" s="7">
        <f t="shared" si="13"/>
        <v>1105.8798815483747</v>
      </c>
      <c r="K143" s="7"/>
      <c r="L143" s="13">
        <v>183.82</v>
      </c>
      <c r="M143" s="15">
        <f t="shared" si="10"/>
        <v>157634.61053908936</v>
      </c>
    </row>
    <row r="144" spans="7:13" ht="15" thickBot="1" x14ac:dyDescent="0.35">
      <c r="G144" s="6">
        <v>141</v>
      </c>
      <c r="H144" s="7">
        <f t="shared" si="11"/>
        <v>2314.738696384929</v>
      </c>
      <c r="I144" s="7">
        <f t="shared" si="12"/>
        <v>1017.8977898836255</v>
      </c>
      <c r="J144" s="7">
        <f t="shared" si="13"/>
        <v>1113.0209065013034</v>
      </c>
      <c r="K144" s="7"/>
      <c r="L144" s="13">
        <v>183.82</v>
      </c>
      <c r="M144" s="15">
        <f t="shared" si="10"/>
        <v>156521.58963258806</v>
      </c>
    </row>
    <row r="145" spans="7:13" ht="15" thickBot="1" x14ac:dyDescent="0.35">
      <c r="G145" s="6">
        <v>142</v>
      </c>
      <c r="H145" s="7">
        <f t="shared" si="11"/>
        <v>2314.738696384929</v>
      </c>
      <c r="I145" s="7">
        <f t="shared" si="12"/>
        <v>1010.7106530172518</v>
      </c>
      <c r="J145" s="7">
        <f t="shared" si="13"/>
        <v>1120.2080433676772</v>
      </c>
      <c r="K145" s="7"/>
      <c r="L145" s="13">
        <v>183.82</v>
      </c>
      <c r="M145" s="15">
        <f t="shared" si="10"/>
        <v>155401.38158922037</v>
      </c>
    </row>
    <row r="146" spans="7:13" ht="15" thickBot="1" x14ac:dyDescent="0.35">
      <c r="G146" s="6">
        <v>143</v>
      </c>
      <c r="H146" s="7">
        <f t="shared" si="11"/>
        <v>2314.738696384929</v>
      </c>
      <c r="I146" s="7">
        <f t="shared" si="12"/>
        <v>1003.4771064778573</v>
      </c>
      <c r="J146" s="7">
        <f t="shared" si="13"/>
        <v>1127.4415899070716</v>
      </c>
      <c r="K146" s="7"/>
      <c r="L146" s="13">
        <v>183.82</v>
      </c>
      <c r="M146" s="15">
        <f t="shared" si="10"/>
        <v>154273.9399993133</v>
      </c>
    </row>
    <row r="147" spans="7:13" ht="15" thickBot="1" x14ac:dyDescent="0.35">
      <c r="G147" s="6">
        <v>144</v>
      </c>
      <c r="H147" s="7">
        <f t="shared" si="11"/>
        <v>2314.738696384929</v>
      </c>
      <c r="I147" s="7">
        <f t="shared" si="12"/>
        <v>996.1968505831361</v>
      </c>
      <c r="J147" s="7">
        <f t="shared" si="13"/>
        <v>1134.7218458017931</v>
      </c>
      <c r="K147" s="7"/>
      <c r="L147" s="13">
        <v>183.82</v>
      </c>
      <c r="M147" s="15">
        <f t="shared" si="10"/>
        <v>153139.21815351149</v>
      </c>
    </row>
    <row r="148" spans="7:13" ht="15" thickBot="1" x14ac:dyDescent="0.35">
      <c r="G148" s="6">
        <v>145</v>
      </c>
      <c r="H148" s="7">
        <f t="shared" si="11"/>
        <v>2314.738696384929</v>
      </c>
      <c r="I148" s="7">
        <f t="shared" si="12"/>
        <v>988.86958371563617</v>
      </c>
      <c r="J148" s="7">
        <f t="shared" si="13"/>
        <v>1142.049112669293</v>
      </c>
      <c r="K148" s="7"/>
      <c r="L148" s="13">
        <v>183.82</v>
      </c>
      <c r="M148" s="15">
        <f t="shared" si="10"/>
        <v>151997.16904084221</v>
      </c>
    </row>
    <row r="149" spans="7:13" ht="15" thickBot="1" x14ac:dyDescent="0.35">
      <c r="G149" s="6">
        <v>146</v>
      </c>
      <c r="H149" s="7">
        <f t="shared" si="11"/>
        <v>2314.738696384929</v>
      </c>
      <c r="I149" s="7">
        <f t="shared" si="12"/>
        <v>981.49500231026423</v>
      </c>
      <c r="J149" s="7">
        <f t="shared" si="13"/>
        <v>1149.4236940746648</v>
      </c>
      <c r="K149" s="7"/>
      <c r="L149" s="13">
        <v>183.82</v>
      </c>
      <c r="M149" s="15">
        <f t="shared" ref="M149:M212" si="14">M148-J149</f>
        <v>150847.74534676754</v>
      </c>
    </row>
    <row r="150" spans="7:13" ht="15" thickBot="1" x14ac:dyDescent="0.35">
      <c r="G150" s="6">
        <v>147</v>
      </c>
      <c r="H150" s="7">
        <f t="shared" si="11"/>
        <v>2314.738696384929</v>
      </c>
      <c r="I150" s="7">
        <f t="shared" si="12"/>
        <v>974.07280084170816</v>
      </c>
      <c r="J150" s="7">
        <f t="shared" si="13"/>
        <v>1156.8458955432209</v>
      </c>
      <c r="K150" s="7"/>
      <c r="L150" s="13">
        <v>183.82</v>
      </c>
      <c r="M150" s="15">
        <f t="shared" si="14"/>
        <v>149690.89945122431</v>
      </c>
    </row>
    <row r="151" spans="7:13" ht="15" thickBot="1" x14ac:dyDescent="0.35">
      <c r="G151" s="6">
        <v>148</v>
      </c>
      <c r="H151" s="7">
        <f t="shared" si="11"/>
        <v>2314.738696384929</v>
      </c>
      <c r="I151" s="7">
        <f t="shared" si="12"/>
        <v>966.60267181178051</v>
      </c>
      <c r="J151" s="7">
        <f t="shared" si="13"/>
        <v>1164.3160245731485</v>
      </c>
      <c r="K151" s="7"/>
      <c r="L151" s="13">
        <v>183.82</v>
      </c>
      <c r="M151" s="15">
        <f t="shared" si="14"/>
        <v>148526.58342665117</v>
      </c>
    </row>
    <row r="152" spans="7:13" ht="15" thickBot="1" x14ac:dyDescent="0.35">
      <c r="G152" s="6">
        <v>149</v>
      </c>
      <c r="H152" s="7">
        <f t="shared" si="11"/>
        <v>2314.738696384929</v>
      </c>
      <c r="I152" s="7">
        <f t="shared" si="12"/>
        <v>959.08430573667795</v>
      </c>
      <c r="J152" s="7">
        <f t="shared" si="13"/>
        <v>1171.8343906482512</v>
      </c>
      <c r="K152" s="7"/>
      <c r="L152" s="13">
        <v>183.82</v>
      </c>
      <c r="M152" s="15">
        <f t="shared" si="14"/>
        <v>147354.7490360029</v>
      </c>
    </row>
    <row r="153" spans="7:13" ht="15" thickBot="1" x14ac:dyDescent="0.35">
      <c r="G153" s="6">
        <v>150</v>
      </c>
      <c r="H153" s="7">
        <f t="shared" si="11"/>
        <v>2314.738696384929</v>
      </c>
      <c r="I153" s="7">
        <f t="shared" si="12"/>
        <v>951.51739113415988</v>
      </c>
      <c r="J153" s="7">
        <f t="shared" si="13"/>
        <v>1179.4013052507692</v>
      </c>
      <c r="K153" s="7"/>
      <c r="L153" s="13">
        <v>183.82</v>
      </c>
      <c r="M153" s="15">
        <f t="shared" si="14"/>
        <v>146175.34773075214</v>
      </c>
    </row>
    <row r="154" spans="7:13" ht="15" thickBot="1" x14ac:dyDescent="0.35">
      <c r="G154" s="6">
        <v>151</v>
      </c>
      <c r="H154" s="7">
        <f t="shared" si="11"/>
        <v>2314.738696384929</v>
      </c>
      <c r="I154" s="7">
        <f t="shared" si="12"/>
        <v>943.90161451064409</v>
      </c>
      <c r="J154" s="7">
        <f t="shared" si="13"/>
        <v>1187.0170818742849</v>
      </c>
      <c r="K154" s="7"/>
      <c r="L154" s="13">
        <v>183.82</v>
      </c>
      <c r="M154" s="15">
        <f t="shared" si="14"/>
        <v>144988.33064887786</v>
      </c>
    </row>
    <row r="155" spans="7:13" ht="15" thickBot="1" x14ac:dyDescent="0.35">
      <c r="G155" s="6">
        <v>152</v>
      </c>
      <c r="H155" s="7">
        <f t="shared" si="11"/>
        <v>2314.738696384929</v>
      </c>
      <c r="I155" s="7">
        <f t="shared" si="12"/>
        <v>936.23666034821838</v>
      </c>
      <c r="J155" s="7">
        <f t="shared" si="13"/>
        <v>1194.6820360367108</v>
      </c>
      <c r="K155" s="7"/>
      <c r="L155" s="13">
        <v>183.82</v>
      </c>
      <c r="M155" s="15">
        <f t="shared" si="14"/>
        <v>143793.64861284115</v>
      </c>
    </row>
    <row r="156" spans="7:13" ht="15" thickBot="1" x14ac:dyDescent="0.35">
      <c r="G156" s="6">
        <v>153</v>
      </c>
      <c r="H156" s="7">
        <f t="shared" si="11"/>
        <v>2314.738696384929</v>
      </c>
      <c r="I156" s="7">
        <f t="shared" si="12"/>
        <v>928.52221109156937</v>
      </c>
      <c r="J156" s="7">
        <f t="shared" si="13"/>
        <v>1202.3964852933598</v>
      </c>
      <c r="K156" s="7"/>
      <c r="L156" s="13">
        <v>183.82</v>
      </c>
      <c r="M156" s="15">
        <f t="shared" si="14"/>
        <v>142591.25212754778</v>
      </c>
    </row>
    <row r="157" spans="7:13" ht="15" thickBot="1" x14ac:dyDescent="0.35">
      <c r="G157" s="6">
        <v>154</v>
      </c>
      <c r="H157" s="7">
        <f t="shared" si="11"/>
        <v>2314.738696384929</v>
      </c>
      <c r="I157" s="7">
        <f t="shared" si="12"/>
        <v>920.75794713482583</v>
      </c>
      <c r="J157" s="7">
        <f t="shared" si="13"/>
        <v>1210.1607492501032</v>
      </c>
      <c r="K157" s="7"/>
      <c r="L157" s="13">
        <v>183.82</v>
      </c>
      <c r="M157" s="15">
        <f t="shared" si="14"/>
        <v>141381.09137829769</v>
      </c>
    </row>
    <row r="158" spans="7:13" ht="15" thickBot="1" x14ac:dyDescent="0.35">
      <c r="G158" s="6">
        <v>155</v>
      </c>
      <c r="H158" s="7">
        <f t="shared" si="11"/>
        <v>2314.738696384929</v>
      </c>
      <c r="I158" s="7">
        <f t="shared" si="12"/>
        <v>912.94354680831805</v>
      </c>
      <c r="J158" s="7">
        <f t="shared" si="13"/>
        <v>1217.9751495766111</v>
      </c>
      <c r="K158" s="7"/>
      <c r="L158" s="13">
        <v>183.82</v>
      </c>
      <c r="M158" s="15">
        <f t="shared" si="14"/>
        <v>140163.11622872108</v>
      </c>
    </row>
    <row r="159" spans="7:13" ht="15" thickBot="1" x14ac:dyDescent="0.35">
      <c r="G159" s="6">
        <v>156</v>
      </c>
      <c r="H159" s="7">
        <f t="shared" si="11"/>
        <v>2314.738696384929</v>
      </c>
      <c r="I159" s="7">
        <f t="shared" si="12"/>
        <v>905.07868636525075</v>
      </c>
      <c r="J159" s="7">
        <f t="shared" si="13"/>
        <v>1225.8400100196784</v>
      </c>
      <c r="K159" s="7"/>
      <c r="L159" s="13">
        <v>183.82</v>
      </c>
      <c r="M159" s="15">
        <f t="shared" si="14"/>
        <v>138937.27621870139</v>
      </c>
    </row>
    <row r="160" spans="7:13" ht="15" thickBot="1" x14ac:dyDescent="0.35">
      <c r="G160" s="6">
        <v>157</v>
      </c>
      <c r="H160" s="7">
        <f t="shared" si="11"/>
        <v>2314.738696384929</v>
      </c>
      <c r="I160" s="7">
        <f t="shared" si="12"/>
        <v>897.16303996829049</v>
      </c>
      <c r="J160" s="7">
        <f t="shared" si="13"/>
        <v>1233.7556564166387</v>
      </c>
      <c r="K160" s="7"/>
      <c r="L160" s="13">
        <v>183.82</v>
      </c>
      <c r="M160" s="15">
        <f t="shared" si="14"/>
        <v>137703.52056228474</v>
      </c>
    </row>
    <row r="161" spans="7:13" ht="15" thickBot="1" x14ac:dyDescent="0.35">
      <c r="G161" s="6">
        <v>158</v>
      </c>
      <c r="H161" s="7">
        <f t="shared" si="11"/>
        <v>2314.738696384929</v>
      </c>
      <c r="I161" s="7">
        <f t="shared" si="12"/>
        <v>889.19627967606709</v>
      </c>
      <c r="J161" s="7">
        <f t="shared" si="13"/>
        <v>1241.7224167088618</v>
      </c>
      <c r="K161" s="7"/>
      <c r="L161" s="13">
        <v>183.82</v>
      </c>
      <c r="M161" s="15">
        <f t="shared" si="14"/>
        <v>136461.79814557589</v>
      </c>
    </row>
    <row r="162" spans="7:13" ht="15" thickBot="1" x14ac:dyDescent="0.35">
      <c r="G162" s="6">
        <v>159</v>
      </c>
      <c r="H162" s="7">
        <f t="shared" si="11"/>
        <v>2314.738696384929</v>
      </c>
      <c r="I162" s="7">
        <f t="shared" si="12"/>
        <v>881.1780754295861</v>
      </c>
      <c r="J162" s="7">
        <f t="shared" si="13"/>
        <v>1249.740620955343</v>
      </c>
      <c r="K162" s="7"/>
      <c r="L162" s="13">
        <v>183.82</v>
      </c>
      <c r="M162" s="15">
        <f t="shared" si="14"/>
        <v>135212.05752462056</v>
      </c>
    </row>
    <row r="163" spans="7:13" ht="15" thickBot="1" x14ac:dyDescent="0.35">
      <c r="G163" s="6">
        <v>160</v>
      </c>
      <c r="H163" s="7">
        <f t="shared" si="11"/>
        <v>2314.738696384929</v>
      </c>
      <c r="I163" s="7">
        <f t="shared" si="12"/>
        <v>873.10809503855535</v>
      </c>
      <c r="J163" s="7">
        <f t="shared" si="13"/>
        <v>1257.8106013463737</v>
      </c>
      <c r="K163" s="7"/>
      <c r="L163" s="13">
        <v>183.82</v>
      </c>
      <c r="M163" s="15">
        <f t="shared" si="14"/>
        <v>133954.24692327419</v>
      </c>
    </row>
    <row r="164" spans="7:13" ht="15" thickBot="1" x14ac:dyDescent="0.35">
      <c r="G164" s="6">
        <v>161</v>
      </c>
      <c r="H164" s="7">
        <f t="shared" si="11"/>
        <v>2314.738696384929</v>
      </c>
      <c r="I164" s="7">
        <f t="shared" si="12"/>
        <v>864.98600416762213</v>
      </c>
      <c r="J164" s="7">
        <f t="shared" si="13"/>
        <v>1265.932692217307</v>
      </c>
      <c r="K164" s="7"/>
      <c r="L164" s="13">
        <v>183.82</v>
      </c>
      <c r="M164" s="15">
        <f t="shared" si="14"/>
        <v>132688.31423105687</v>
      </c>
    </row>
    <row r="165" spans="7:13" ht="15" thickBot="1" x14ac:dyDescent="0.35">
      <c r="G165" s="6">
        <v>162</v>
      </c>
      <c r="H165" s="7">
        <f t="shared" si="11"/>
        <v>2314.738696384929</v>
      </c>
      <c r="I165" s="7">
        <f t="shared" si="12"/>
        <v>856.81146632252171</v>
      </c>
      <c r="J165" s="7">
        <f t="shared" si="13"/>
        <v>1274.1072300624073</v>
      </c>
      <c r="K165" s="7"/>
      <c r="L165" s="13">
        <v>183.82</v>
      </c>
      <c r="M165" s="15">
        <f t="shared" si="14"/>
        <v>131414.20700099447</v>
      </c>
    </row>
    <row r="166" spans="7:13" ht="15" thickBot="1" x14ac:dyDescent="0.35">
      <c r="G166" s="6">
        <v>163</v>
      </c>
      <c r="H166" s="7">
        <f t="shared" si="11"/>
        <v>2314.738696384929</v>
      </c>
      <c r="I166" s="7">
        <f t="shared" si="12"/>
        <v>848.58414283613763</v>
      </c>
      <c r="J166" s="7">
        <f t="shared" si="13"/>
        <v>1282.3345535487913</v>
      </c>
      <c r="K166" s="7"/>
      <c r="L166" s="13">
        <v>183.82</v>
      </c>
      <c r="M166" s="15">
        <f t="shared" si="14"/>
        <v>130131.87244744568</v>
      </c>
    </row>
    <row r="167" spans="7:13" ht="15" thickBot="1" x14ac:dyDescent="0.35">
      <c r="G167" s="6">
        <v>164</v>
      </c>
      <c r="H167" s="7">
        <f t="shared" si="11"/>
        <v>2314.738696384929</v>
      </c>
      <c r="I167" s="7">
        <f t="shared" si="12"/>
        <v>840.3036928544692</v>
      </c>
      <c r="J167" s="7">
        <f t="shared" si="13"/>
        <v>1290.6150035304597</v>
      </c>
      <c r="K167" s="7"/>
      <c r="L167" s="13">
        <v>183.82</v>
      </c>
      <c r="M167" s="15">
        <f t="shared" si="14"/>
        <v>128841.25744391522</v>
      </c>
    </row>
    <row r="168" spans="7:13" ht="15" thickBot="1" x14ac:dyDescent="0.35">
      <c r="G168" s="6">
        <v>165</v>
      </c>
      <c r="H168" s="7">
        <f t="shared" si="11"/>
        <v>2314.738696384929</v>
      </c>
      <c r="I168" s="7">
        <f t="shared" si="12"/>
        <v>831.96977332251129</v>
      </c>
      <c r="J168" s="7">
        <f t="shared" si="13"/>
        <v>1298.9489230624179</v>
      </c>
      <c r="K168" s="7"/>
      <c r="L168" s="13">
        <v>183.82</v>
      </c>
      <c r="M168" s="15">
        <f t="shared" si="14"/>
        <v>127542.30852085281</v>
      </c>
    </row>
    <row r="169" spans="7:13" ht="15" thickBot="1" x14ac:dyDescent="0.35">
      <c r="G169" s="6">
        <v>166</v>
      </c>
      <c r="H169" s="7">
        <f t="shared" si="11"/>
        <v>2314.738696384929</v>
      </c>
      <c r="I169" s="7">
        <f t="shared" si="12"/>
        <v>823.58203897004125</v>
      </c>
      <c r="J169" s="7">
        <f t="shared" si="13"/>
        <v>1307.3366574148879</v>
      </c>
      <c r="K169" s="7"/>
      <c r="L169" s="13">
        <v>183.82</v>
      </c>
      <c r="M169" s="15">
        <f t="shared" si="14"/>
        <v>126234.97186343792</v>
      </c>
    </row>
    <row r="170" spans="7:13" ht="15" thickBot="1" x14ac:dyDescent="0.35">
      <c r="G170" s="6">
        <v>167</v>
      </c>
      <c r="H170" s="7">
        <f t="shared" si="11"/>
        <v>2314.738696384929</v>
      </c>
      <c r="I170" s="7">
        <f t="shared" si="12"/>
        <v>815.14014229731492</v>
      </c>
      <c r="J170" s="7">
        <f t="shared" si="13"/>
        <v>1315.7785540876141</v>
      </c>
      <c r="K170" s="7"/>
      <c r="L170" s="13">
        <v>183.82</v>
      </c>
      <c r="M170" s="15">
        <f t="shared" si="14"/>
        <v>124919.1933093503</v>
      </c>
    </row>
    <row r="171" spans="7:13" ht="15" thickBot="1" x14ac:dyDescent="0.35">
      <c r="G171" s="6">
        <v>168</v>
      </c>
      <c r="H171" s="7">
        <f t="shared" si="11"/>
        <v>2314.738696384929</v>
      </c>
      <c r="I171" s="7">
        <f t="shared" si="12"/>
        <v>806.64373356066915</v>
      </c>
      <c r="J171" s="7">
        <f t="shared" si="13"/>
        <v>1324.2749628242598</v>
      </c>
      <c r="K171" s="7"/>
      <c r="L171" s="13">
        <v>183.82</v>
      </c>
      <c r="M171" s="15">
        <f t="shared" si="14"/>
        <v>123594.91834652604</v>
      </c>
    </row>
    <row r="172" spans="7:13" ht="15" thickBot="1" x14ac:dyDescent="0.35">
      <c r="G172" s="6">
        <v>169</v>
      </c>
      <c r="H172" s="7">
        <f t="shared" si="11"/>
        <v>2314.738696384929</v>
      </c>
      <c r="I172" s="7">
        <f t="shared" si="12"/>
        <v>798.09246075803321</v>
      </c>
      <c r="J172" s="7">
        <f t="shared" si="13"/>
        <v>1332.8262356268958</v>
      </c>
      <c r="K172" s="7"/>
      <c r="L172" s="13">
        <v>183.82</v>
      </c>
      <c r="M172" s="15">
        <f t="shared" si="14"/>
        <v>122262.09211089915</v>
      </c>
    </row>
    <row r="173" spans="7:13" ht="15" thickBot="1" x14ac:dyDescent="0.35">
      <c r="G173" s="6">
        <v>170</v>
      </c>
      <c r="H173" s="7">
        <f t="shared" si="11"/>
        <v>2314.738696384929</v>
      </c>
      <c r="I173" s="7">
        <f t="shared" si="12"/>
        <v>789.48596961434419</v>
      </c>
      <c r="J173" s="7">
        <f t="shared" si="13"/>
        <v>1341.4327267705848</v>
      </c>
      <c r="K173" s="7"/>
      <c r="L173" s="13">
        <v>183.82</v>
      </c>
      <c r="M173" s="15">
        <f t="shared" si="14"/>
        <v>120920.65938412856</v>
      </c>
    </row>
    <row r="174" spans="7:13" ht="15" thickBot="1" x14ac:dyDescent="0.35">
      <c r="G174" s="6">
        <v>171</v>
      </c>
      <c r="H174" s="7">
        <f t="shared" si="11"/>
        <v>2314.738696384929</v>
      </c>
      <c r="I174" s="7">
        <f t="shared" si="12"/>
        <v>780.82390356687074</v>
      </c>
      <c r="J174" s="7">
        <f t="shared" si="13"/>
        <v>1350.0947928180583</v>
      </c>
      <c r="K174" s="7"/>
      <c r="L174" s="13">
        <v>183.82</v>
      </c>
      <c r="M174" s="15">
        <f t="shared" si="14"/>
        <v>119570.56459131051</v>
      </c>
    </row>
    <row r="175" spans="7:13" ht="15" thickBot="1" x14ac:dyDescent="0.35">
      <c r="G175" s="6">
        <v>172</v>
      </c>
      <c r="H175" s="7">
        <f t="shared" si="11"/>
        <v>2314.738696384929</v>
      </c>
      <c r="I175" s="7">
        <f t="shared" si="12"/>
        <v>772.10590375044023</v>
      </c>
      <c r="J175" s="7">
        <f t="shared" si="13"/>
        <v>1358.8127926344889</v>
      </c>
      <c r="K175" s="7"/>
      <c r="L175" s="13">
        <v>183.82</v>
      </c>
      <c r="M175" s="15">
        <f t="shared" si="14"/>
        <v>118211.75179867602</v>
      </c>
    </row>
    <row r="176" spans="7:13" ht="15" thickBot="1" x14ac:dyDescent="0.35">
      <c r="G176" s="6">
        <v>173</v>
      </c>
      <c r="H176" s="7">
        <f t="shared" si="11"/>
        <v>2314.738696384929</v>
      </c>
      <c r="I176" s="7">
        <f t="shared" si="12"/>
        <v>763.33160898257097</v>
      </c>
      <c r="J176" s="7">
        <f t="shared" si="13"/>
        <v>1367.5870874023581</v>
      </c>
      <c r="K176" s="7"/>
      <c r="L176" s="13">
        <v>183.82</v>
      </c>
      <c r="M176" s="15">
        <f t="shared" si="14"/>
        <v>116844.16471127367</v>
      </c>
    </row>
    <row r="177" spans="7:13" ht="15" thickBot="1" x14ac:dyDescent="0.35">
      <c r="G177" s="6">
        <v>174</v>
      </c>
      <c r="H177" s="7">
        <f t="shared" si="11"/>
        <v>2314.738696384929</v>
      </c>
      <c r="I177" s="7">
        <f t="shared" si="12"/>
        <v>754.50065574850919</v>
      </c>
      <c r="J177" s="7">
        <f t="shared" si="13"/>
        <v>1376.4180406364198</v>
      </c>
      <c r="K177" s="7"/>
      <c r="L177" s="13">
        <v>183.82</v>
      </c>
      <c r="M177" s="15">
        <f t="shared" si="14"/>
        <v>115467.74667063725</v>
      </c>
    </row>
    <row r="178" spans="7:13" ht="15" thickBot="1" x14ac:dyDescent="0.35">
      <c r="G178" s="6">
        <v>175</v>
      </c>
      <c r="H178" s="7">
        <f t="shared" si="11"/>
        <v>2314.738696384929</v>
      </c>
      <c r="I178" s="7">
        <f t="shared" si="12"/>
        <v>745.6126781861683</v>
      </c>
      <c r="J178" s="7">
        <f t="shared" si="13"/>
        <v>1385.3060181987607</v>
      </c>
      <c r="K178" s="7"/>
      <c r="L178" s="13">
        <v>183.82</v>
      </c>
      <c r="M178" s="15">
        <f t="shared" si="14"/>
        <v>114082.44065243848</v>
      </c>
    </row>
    <row r="179" spans="7:13" ht="15" thickBot="1" x14ac:dyDescent="0.35">
      <c r="G179" s="6">
        <v>176</v>
      </c>
      <c r="H179" s="7">
        <f t="shared" si="11"/>
        <v>2314.738696384929</v>
      </c>
      <c r="I179" s="7">
        <f t="shared" si="12"/>
        <v>736.66730807097179</v>
      </c>
      <c r="J179" s="7">
        <f t="shared" si="13"/>
        <v>1394.2513883139572</v>
      </c>
      <c r="K179" s="7"/>
      <c r="L179" s="13">
        <v>183.82</v>
      </c>
      <c r="M179" s="15">
        <f t="shared" si="14"/>
        <v>112688.18926412452</v>
      </c>
    </row>
    <row r="180" spans="7:13" ht="15" thickBot="1" x14ac:dyDescent="0.35">
      <c r="G180" s="6">
        <v>177</v>
      </c>
      <c r="H180" s="7">
        <f t="shared" si="11"/>
        <v>2314.738696384929</v>
      </c>
      <c r="I180" s="7">
        <f t="shared" si="12"/>
        <v>727.66417480059761</v>
      </c>
      <c r="J180" s="7">
        <f t="shared" si="13"/>
        <v>1403.2545215843313</v>
      </c>
      <c r="K180" s="7"/>
      <c r="L180" s="13">
        <v>183.82</v>
      </c>
      <c r="M180" s="15">
        <f t="shared" si="14"/>
        <v>111284.93474254019</v>
      </c>
    </row>
    <row r="181" spans="7:13" ht="15" thickBot="1" x14ac:dyDescent="0.35">
      <c r="G181" s="6">
        <v>178</v>
      </c>
      <c r="H181" s="7">
        <f t="shared" si="11"/>
        <v>2314.738696384929</v>
      </c>
      <c r="I181" s="7">
        <f t="shared" si="12"/>
        <v>718.6029053796243</v>
      </c>
      <c r="J181" s="7">
        <f t="shared" si="13"/>
        <v>1412.3157910053048</v>
      </c>
      <c r="K181" s="7"/>
      <c r="L181" s="13">
        <v>183.82</v>
      </c>
      <c r="M181" s="15">
        <f t="shared" si="14"/>
        <v>109872.6189515349</v>
      </c>
    </row>
    <row r="182" spans="7:13" ht="15" thickBot="1" x14ac:dyDescent="0.35">
      <c r="G182" s="6">
        <v>179</v>
      </c>
      <c r="H182" s="7">
        <f t="shared" si="11"/>
        <v>2314.738696384929</v>
      </c>
      <c r="I182" s="7">
        <f t="shared" si="12"/>
        <v>709.48312440407801</v>
      </c>
      <c r="J182" s="7">
        <f t="shared" si="13"/>
        <v>1421.4355719808511</v>
      </c>
      <c r="K182" s="7"/>
      <c r="L182" s="13">
        <v>183.82</v>
      </c>
      <c r="M182" s="15">
        <f t="shared" si="14"/>
        <v>108451.18337955404</v>
      </c>
    </row>
    <row r="183" spans="7:13" ht="15" thickBot="1" x14ac:dyDescent="0.35">
      <c r="G183" s="6">
        <v>180</v>
      </c>
      <c r="H183" s="7">
        <f t="shared" si="11"/>
        <v>2314.738696384929</v>
      </c>
      <c r="I183" s="7">
        <f t="shared" si="12"/>
        <v>700.30445404587965</v>
      </c>
      <c r="J183" s="7">
        <f t="shared" si="13"/>
        <v>1430.6142423390495</v>
      </c>
      <c r="K183" s="7"/>
      <c r="L183" s="13">
        <v>183.82</v>
      </c>
      <c r="M183" s="15">
        <f t="shared" si="14"/>
        <v>107020.56913721499</v>
      </c>
    </row>
    <row r="184" spans="7:13" ht="15" thickBot="1" x14ac:dyDescent="0.35">
      <c r="G184" s="6">
        <v>181</v>
      </c>
      <c r="H184" s="7">
        <f t="shared" si="11"/>
        <v>2314.738696384929</v>
      </c>
      <c r="I184" s="7">
        <f t="shared" si="12"/>
        <v>691.06651403719195</v>
      </c>
      <c r="J184" s="7">
        <f t="shared" si="13"/>
        <v>1439.852182347737</v>
      </c>
      <c r="K184" s="7"/>
      <c r="L184" s="13">
        <v>183.82</v>
      </c>
      <c r="M184" s="15">
        <f t="shared" si="14"/>
        <v>105580.71695486725</v>
      </c>
    </row>
    <row r="185" spans="7:13" ht="15" thickBot="1" x14ac:dyDescent="0.35">
      <c r="G185" s="6">
        <v>182</v>
      </c>
      <c r="H185" s="7">
        <f t="shared" si="11"/>
        <v>2314.738696384929</v>
      </c>
      <c r="I185" s="7">
        <f t="shared" si="12"/>
        <v>681.76892165466472</v>
      </c>
      <c r="J185" s="7">
        <f t="shared" si="13"/>
        <v>1449.1497747302644</v>
      </c>
      <c r="K185" s="7"/>
      <c r="L185" s="13">
        <v>183.82</v>
      </c>
      <c r="M185" s="15">
        <f t="shared" si="14"/>
        <v>104131.56718013699</v>
      </c>
    </row>
    <row r="186" spans="7:13" ht="15" thickBot="1" x14ac:dyDescent="0.35">
      <c r="G186" s="6">
        <v>183</v>
      </c>
      <c r="H186" s="7">
        <f t="shared" si="11"/>
        <v>2314.738696384929</v>
      </c>
      <c r="I186" s="7">
        <f t="shared" si="12"/>
        <v>672.4112917035792</v>
      </c>
      <c r="J186" s="7">
        <f t="shared" si="13"/>
        <v>1458.50740468135</v>
      </c>
      <c r="K186" s="7"/>
      <c r="L186" s="13">
        <v>183.82</v>
      </c>
      <c r="M186" s="15">
        <f t="shared" si="14"/>
        <v>102673.05977545564</v>
      </c>
    </row>
    <row r="187" spans="7:13" ht="15" thickBot="1" x14ac:dyDescent="0.35">
      <c r="G187" s="6">
        <v>184</v>
      </c>
      <c r="H187" s="7">
        <f t="shared" si="11"/>
        <v>2314.738696384929</v>
      </c>
      <c r="I187" s="7">
        <f t="shared" si="12"/>
        <v>662.99323650188921</v>
      </c>
      <c r="J187" s="7">
        <f t="shared" si="13"/>
        <v>1467.9254598830398</v>
      </c>
      <c r="K187" s="7"/>
      <c r="L187" s="13">
        <v>183.82</v>
      </c>
      <c r="M187" s="15">
        <f t="shared" si="14"/>
        <v>101205.13431557259</v>
      </c>
    </row>
    <row r="188" spans="7:13" ht="15" thickBot="1" x14ac:dyDescent="0.35">
      <c r="G188" s="6">
        <v>185</v>
      </c>
      <c r="H188" s="7">
        <f t="shared" si="11"/>
        <v>2314.738696384929</v>
      </c>
      <c r="I188" s="7">
        <f t="shared" si="12"/>
        <v>653.51436586415991</v>
      </c>
      <c r="J188" s="7">
        <f t="shared" si="13"/>
        <v>1477.404330520769</v>
      </c>
      <c r="K188" s="7"/>
      <c r="L188" s="13">
        <v>183.82</v>
      </c>
      <c r="M188" s="15">
        <f t="shared" si="14"/>
        <v>99727.729985051817</v>
      </c>
    </row>
    <row r="189" spans="7:13" ht="15" thickBot="1" x14ac:dyDescent="0.35">
      <c r="G189" s="6">
        <v>186</v>
      </c>
      <c r="H189" s="7">
        <f t="shared" si="11"/>
        <v>2314.738696384929</v>
      </c>
      <c r="I189" s="7">
        <f t="shared" si="12"/>
        <v>643.97428708540292</v>
      </c>
      <c r="J189" s="7">
        <f t="shared" si="13"/>
        <v>1486.9444092995261</v>
      </c>
      <c r="K189" s="7"/>
      <c r="L189" s="13">
        <v>183.82</v>
      </c>
      <c r="M189" s="15">
        <f t="shared" si="14"/>
        <v>98240.785575752292</v>
      </c>
    </row>
    <row r="190" spans="7:13" ht="15" thickBot="1" x14ac:dyDescent="0.35">
      <c r="G190" s="6">
        <v>187</v>
      </c>
      <c r="H190" s="7">
        <f t="shared" si="11"/>
        <v>2314.738696384929</v>
      </c>
      <c r="I190" s="7">
        <f t="shared" si="12"/>
        <v>634.37260492480607</v>
      </c>
      <c r="J190" s="7">
        <f t="shared" si="13"/>
        <v>1496.5460914601229</v>
      </c>
      <c r="K190" s="7"/>
      <c r="L190" s="13">
        <v>183.82</v>
      </c>
      <c r="M190" s="15">
        <f t="shared" si="14"/>
        <v>96744.239484292164</v>
      </c>
    </row>
    <row r="191" spans="7:13" ht="15" thickBot="1" x14ac:dyDescent="0.35">
      <c r="G191" s="6">
        <v>188</v>
      </c>
      <c r="H191" s="7">
        <f t="shared" si="11"/>
        <v>2314.738696384929</v>
      </c>
      <c r="I191" s="7">
        <f t="shared" si="12"/>
        <v>624.70892158935931</v>
      </c>
      <c r="J191" s="7">
        <f t="shared" si="13"/>
        <v>1506.2097747955697</v>
      </c>
      <c r="K191" s="7"/>
      <c r="L191" s="13">
        <v>183.82</v>
      </c>
      <c r="M191" s="15">
        <f t="shared" si="14"/>
        <v>95238.029709496594</v>
      </c>
    </row>
    <row r="192" spans="7:13" ht="15" thickBot="1" x14ac:dyDescent="0.35">
      <c r="G192" s="6">
        <v>189</v>
      </c>
      <c r="H192" s="7">
        <f t="shared" si="11"/>
        <v>2314.738696384929</v>
      </c>
      <c r="I192" s="7">
        <f t="shared" si="12"/>
        <v>614.98283671737408</v>
      </c>
      <c r="J192" s="7">
        <f t="shared" si="13"/>
        <v>1515.935859667555</v>
      </c>
      <c r="K192" s="7"/>
      <c r="L192" s="13">
        <v>183.82</v>
      </c>
      <c r="M192" s="15">
        <f t="shared" si="14"/>
        <v>93722.093849829034</v>
      </c>
    </row>
    <row r="193" spans="7:13" ht="15" thickBot="1" x14ac:dyDescent="0.35">
      <c r="G193" s="6">
        <v>190</v>
      </c>
      <c r="H193" s="7">
        <f t="shared" si="11"/>
        <v>2314.738696384929</v>
      </c>
      <c r="I193" s="7">
        <f t="shared" si="12"/>
        <v>605.19394736189656</v>
      </c>
      <c r="J193" s="7">
        <f t="shared" si="13"/>
        <v>1525.7247490230325</v>
      </c>
      <c r="K193" s="7"/>
      <c r="L193" s="13">
        <v>183.82</v>
      </c>
      <c r="M193" s="15">
        <f t="shared" si="14"/>
        <v>92196.369100805998</v>
      </c>
    </row>
    <row r="194" spans="7:13" ht="15" thickBot="1" x14ac:dyDescent="0.35">
      <c r="G194" s="6">
        <v>191</v>
      </c>
      <c r="H194" s="7">
        <f t="shared" si="11"/>
        <v>2314.738696384929</v>
      </c>
      <c r="I194" s="7">
        <f t="shared" si="12"/>
        <v>595.34184797401372</v>
      </c>
      <c r="J194" s="7">
        <f t="shared" si="13"/>
        <v>1535.5768484109153</v>
      </c>
      <c r="K194" s="7"/>
      <c r="L194" s="13">
        <v>183.82</v>
      </c>
      <c r="M194" s="15">
        <f t="shared" si="14"/>
        <v>90660.792252395084</v>
      </c>
    </row>
    <row r="195" spans="7:13" ht="15" thickBot="1" x14ac:dyDescent="0.35">
      <c r="G195" s="6">
        <v>192</v>
      </c>
      <c r="H195" s="7">
        <f t="shared" si="11"/>
        <v>2314.738696384929</v>
      </c>
      <c r="I195" s="7">
        <f t="shared" si="12"/>
        <v>585.42613038605214</v>
      </c>
      <c r="J195" s="7">
        <f t="shared" si="13"/>
        <v>1545.4925659988769</v>
      </c>
      <c r="K195" s="7"/>
      <c r="L195" s="13">
        <v>183.82</v>
      </c>
      <c r="M195" s="15">
        <f t="shared" si="14"/>
        <v>89115.299686396203</v>
      </c>
    </row>
    <row r="196" spans="7:13" ht="15" thickBot="1" x14ac:dyDescent="0.35">
      <c r="G196" s="6">
        <v>193</v>
      </c>
      <c r="H196" s="7">
        <f t="shared" si="11"/>
        <v>2314.738696384929</v>
      </c>
      <c r="I196" s="7">
        <f t="shared" si="12"/>
        <v>575.44638379466676</v>
      </c>
      <c r="J196" s="7">
        <f t="shared" si="13"/>
        <v>1555.4723125902622</v>
      </c>
      <c r="K196" s="7"/>
      <c r="L196" s="13">
        <v>183.82</v>
      </c>
      <c r="M196" s="15">
        <f t="shared" si="14"/>
        <v>87559.827373805936</v>
      </c>
    </row>
    <row r="197" spans="7:13" ht="15" thickBot="1" x14ac:dyDescent="0.35">
      <c r="G197" s="6">
        <v>194</v>
      </c>
      <c r="H197" s="7">
        <f t="shared" ref="H197:H243" si="15">$C$13</f>
        <v>2314.738696384929</v>
      </c>
      <c r="I197" s="7">
        <f t="shared" ref="I197:I243" si="16">M196*$C$8</f>
        <v>565.40219474382263</v>
      </c>
      <c r="J197" s="7">
        <f t="shared" ref="J197:J243" si="17">H197-I197-L197+K197</f>
        <v>1565.5165016411063</v>
      </c>
      <c r="K197" s="7"/>
      <c r="L197" s="13">
        <v>183.82</v>
      </c>
      <c r="M197" s="15">
        <f t="shared" si="14"/>
        <v>85994.310872164831</v>
      </c>
    </row>
    <row r="198" spans="7:13" ht="15" thickBot="1" x14ac:dyDescent="0.35">
      <c r="G198" s="6">
        <v>195</v>
      </c>
      <c r="H198" s="7">
        <f t="shared" si="15"/>
        <v>2314.738696384929</v>
      </c>
      <c r="I198" s="7">
        <f t="shared" si="16"/>
        <v>555.29314710766494</v>
      </c>
      <c r="J198" s="7">
        <f t="shared" si="17"/>
        <v>1575.6255492772641</v>
      </c>
      <c r="K198" s="7"/>
      <c r="L198" s="13">
        <v>183.82</v>
      </c>
      <c r="M198" s="15">
        <f t="shared" si="14"/>
        <v>84418.68532288757</v>
      </c>
    </row>
    <row r="199" spans="7:13" ht="15" thickBot="1" x14ac:dyDescent="0.35">
      <c r="G199" s="6">
        <v>196</v>
      </c>
      <c r="H199" s="7">
        <f t="shared" si="15"/>
        <v>2314.738696384929</v>
      </c>
      <c r="I199" s="7">
        <f t="shared" si="16"/>
        <v>545.11882207327915</v>
      </c>
      <c r="J199" s="7">
        <f t="shared" si="17"/>
        <v>1585.7998743116498</v>
      </c>
      <c r="K199" s="7"/>
      <c r="L199" s="13">
        <v>183.82</v>
      </c>
      <c r="M199" s="15">
        <f t="shared" si="14"/>
        <v>82832.885448575922</v>
      </c>
    </row>
    <row r="200" spans="7:13" ht="15" thickBot="1" x14ac:dyDescent="0.35">
      <c r="G200" s="6">
        <v>197</v>
      </c>
      <c r="H200" s="7">
        <f t="shared" si="15"/>
        <v>2314.738696384929</v>
      </c>
      <c r="I200" s="7">
        <f t="shared" si="16"/>
        <v>534.87879812334029</v>
      </c>
      <c r="J200" s="7">
        <f t="shared" si="17"/>
        <v>1596.0398982615886</v>
      </c>
      <c r="K200" s="7"/>
      <c r="L200" s="13">
        <v>183.82</v>
      </c>
      <c r="M200" s="15">
        <f t="shared" si="14"/>
        <v>81236.845550314334</v>
      </c>
    </row>
    <row r="201" spans="7:13" ht="15" thickBot="1" x14ac:dyDescent="0.35">
      <c r="G201" s="6">
        <v>198</v>
      </c>
      <c r="H201" s="7">
        <f t="shared" si="15"/>
        <v>2314.738696384929</v>
      </c>
      <c r="I201" s="7">
        <f t="shared" si="16"/>
        <v>524.57265101864914</v>
      </c>
      <c r="J201" s="7">
        <f t="shared" si="17"/>
        <v>1606.3460453662799</v>
      </c>
      <c r="K201" s="7"/>
      <c r="L201" s="13">
        <v>183.82</v>
      </c>
      <c r="M201" s="15">
        <f t="shared" si="14"/>
        <v>79630.499504948049</v>
      </c>
    </row>
    <row r="202" spans="7:13" ht="15" thickBot="1" x14ac:dyDescent="0.35">
      <c r="G202" s="6">
        <v>199</v>
      </c>
      <c r="H202" s="7">
        <f t="shared" si="15"/>
        <v>2314.738696384929</v>
      </c>
      <c r="I202" s="7">
        <f t="shared" si="16"/>
        <v>514.19995378055637</v>
      </c>
      <c r="J202" s="7">
        <f t="shared" si="17"/>
        <v>1616.7187426043727</v>
      </c>
      <c r="K202" s="7"/>
      <c r="L202" s="13">
        <v>183.82</v>
      </c>
      <c r="M202" s="15">
        <f t="shared" si="14"/>
        <v>78013.780762343682</v>
      </c>
    </row>
    <row r="203" spans="7:13" ht="15" thickBot="1" x14ac:dyDescent="0.35">
      <c r="G203" s="6">
        <v>200</v>
      </c>
      <c r="H203" s="7">
        <f t="shared" si="15"/>
        <v>2314.738696384929</v>
      </c>
      <c r="I203" s="7">
        <f t="shared" si="16"/>
        <v>503.76027667327327</v>
      </c>
      <c r="J203" s="7">
        <f t="shared" si="17"/>
        <v>1627.1584197116558</v>
      </c>
      <c r="K203" s="7"/>
      <c r="L203" s="13">
        <v>183.82</v>
      </c>
      <c r="M203" s="15">
        <f t="shared" si="14"/>
        <v>76386.622342632021</v>
      </c>
    </row>
    <row r="204" spans="7:13" ht="15" thickBot="1" x14ac:dyDescent="0.35">
      <c r="G204" s="6">
        <v>201</v>
      </c>
      <c r="H204" s="7">
        <f t="shared" si="15"/>
        <v>2314.738696384929</v>
      </c>
      <c r="I204" s="7">
        <f t="shared" si="16"/>
        <v>493.25318718606758</v>
      </c>
      <c r="J204" s="7">
        <f t="shared" si="17"/>
        <v>1637.6655091988614</v>
      </c>
      <c r="K204" s="7"/>
      <c r="L204" s="13">
        <v>183.82</v>
      </c>
      <c r="M204" s="15">
        <f t="shared" si="14"/>
        <v>74748.956833433156</v>
      </c>
    </row>
    <row r="205" spans="7:13" ht="15" thickBot="1" x14ac:dyDescent="0.35">
      <c r="G205" s="6">
        <v>202</v>
      </c>
      <c r="H205" s="7">
        <f t="shared" si="15"/>
        <v>2314.738696384929</v>
      </c>
      <c r="I205" s="7">
        <f t="shared" si="16"/>
        <v>482.67825001534516</v>
      </c>
      <c r="J205" s="7">
        <f t="shared" si="17"/>
        <v>1648.2404463695839</v>
      </c>
      <c r="K205" s="7"/>
      <c r="L205" s="13">
        <v>183.82</v>
      </c>
      <c r="M205" s="15">
        <f t="shared" si="14"/>
        <v>73100.71638706357</v>
      </c>
    </row>
    <row r="206" spans="7:13" ht="15" thickBot="1" x14ac:dyDescent="0.35">
      <c r="G206" s="6">
        <v>203</v>
      </c>
      <c r="H206" s="7">
        <f t="shared" si="15"/>
        <v>2314.738696384929</v>
      </c>
      <c r="I206" s="7">
        <f t="shared" si="16"/>
        <v>472.03502704661543</v>
      </c>
      <c r="J206" s="7">
        <f t="shared" si="17"/>
        <v>1658.8836693383137</v>
      </c>
      <c r="K206" s="7"/>
      <c r="L206" s="13">
        <v>183.82</v>
      </c>
      <c r="M206" s="15">
        <f t="shared" si="14"/>
        <v>71441.83271772525</v>
      </c>
    </row>
    <row r="207" spans="7:13" ht="15" thickBot="1" x14ac:dyDescent="0.35">
      <c r="G207" s="6">
        <v>204</v>
      </c>
      <c r="H207" s="7">
        <f t="shared" si="15"/>
        <v>2314.738696384929</v>
      </c>
      <c r="I207" s="7">
        <f t="shared" si="16"/>
        <v>461.32307733634036</v>
      </c>
      <c r="J207" s="7">
        <f t="shared" si="17"/>
        <v>1669.5956190485888</v>
      </c>
      <c r="K207" s="7"/>
      <c r="L207" s="13">
        <v>183.82</v>
      </c>
      <c r="M207" s="15">
        <f t="shared" si="14"/>
        <v>69772.237098676662</v>
      </c>
    </row>
    <row r="208" spans="7:13" ht="15" thickBot="1" x14ac:dyDescent="0.35">
      <c r="G208" s="6">
        <v>205</v>
      </c>
      <c r="H208" s="7">
        <f t="shared" si="15"/>
        <v>2314.738696384929</v>
      </c>
      <c r="I208" s="7">
        <f t="shared" si="16"/>
        <v>450.54195709366684</v>
      </c>
      <c r="J208" s="7">
        <f t="shared" si="17"/>
        <v>1680.3767392912621</v>
      </c>
      <c r="K208" s="7"/>
      <c r="L208" s="13">
        <v>183.82</v>
      </c>
      <c r="M208" s="15">
        <f t="shared" si="14"/>
        <v>68091.860359385406</v>
      </c>
    </row>
    <row r="209" spans="7:13" ht="15" thickBot="1" x14ac:dyDescent="0.35">
      <c r="G209" s="6">
        <v>206</v>
      </c>
      <c r="H209" s="7">
        <f t="shared" si="15"/>
        <v>2314.738696384929</v>
      </c>
      <c r="I209" s="7">
        <f t="shared" si="16"/>
        <v>439.69121966203994</v>
      </c>
      <c r="J209" s="7">
        <f t="shared" si="17"/>
        <v>1691.2274767228892</v>
      </c>
      <c r="K209" s="7"/>
      <c r="L209" s="13">
        <v>183.82</v>
      </c>
      <c r="M209" s="15">
        <f t="shared" si="14"/>
        <v>66400.63288266251</v>
      </c>
    </row>
    <row r="210" spans="7:13" ht="15" thickBot="1" x14ac:dyDescent="0.35">
      <c r="G210" s="6">
        <v>207</v>
      </c>
      <c r="H210" s="7">
        <f t="shared" si="15"/>
        <v>2314.738696384929</v>
      </c>
      <c r="I210" s="7">
        <f t="shared" si="16"/>
        <v>428.77041550069868</v>
      </c>
      <c r="J210" s="7">
        <f t="shared" si="17"/>
        <v>1702.1482808842304</v>
      </c>
      <c r="K210" s="7"/>
      <c r="L210" s="13">
        <v>183.82</v>
      </c>
      <c r="M210" s="15">
        <f t="shared" si="14"/>
        <v>64698.484601778277</v>
      </c>
    </row>
    <row r="211" spans="7:13" ht="15" thickBot="1" x14ac:dyDescent="0.35">
      <c r="G211" s="6">
        <v>208</v>
      </c>
      <c r="H211" s="7">
        <f t="shared" si="15"/>
        <v>2314.738696384929</v>
      </c>
      <c r="I211" s="7">
        <f t="shared" si="16"/>
        <v>417.77909216605173</v>
      </c>
      <c r="J211" s="7">
        <f t="shared" si="17"/>
        <v>1713.1396042188774</v>
      </c>
      <c r="K211" s="7"/>
      <c r="L211" s="13">
        <v>183.82</v>
      </c>
      <c r="M211" s="15">
        <f t="shared" si="14"/>
        <v>62985.344997559398</v>
      </c>
    </row>
    <row r="212" spans="7:13" ht="15" thickBot="1" x14ac:dyDescent="0.35">
      <c r="G212" s="6">
        <v>209</v>
      </c>
      <c r="H212" s="7">
        <f t="shared" si="15"/>
        <v>2314.738696384929</v>
      </c>
      <c r="I212" s="7">
        <f t="shared" si="16"/>
        <v>406.71679429293278</v>
      </c>
      <c r="J212" s="7">
        <f t="shared" si="17"/>
        <v>1724.2019020919963</v>
      </c>
      <c r="K212" s="7"/>
      <c r="L212" s="13">
        <v>183.82</v>
      </c>
      <c r="M212" s="15">
        <f t="shared" si="14"/>
        <v>61261.1430954674</v>
      </c>
    </row>
    <row r="213" spans="7:13" ht="15" thickBot="1" x14ac:dyDescent="0.35">
      <c r="G213" s="6">
        <v>210</v>
      </c>
      <c r="H213" s="7">
        <f t="shared" si="15"/>
        <v>2314.738696384929</v>
      </c>
      <c r="I213" s="7">
        <f t="shared" si="16"/>
        <v>395.58306357573485</v>
      </c>
      <c r="J213" s="7">
        <f t="shared" si="17"/>
        <v>1735.3356328091943</v>
      </c>
      <c r="K213" s="7"/>
      <c r="L213" s="13">
        <v>183.82</v>
      </c>
      <c r="M213" s="15">
        <f t="shared" ref="M213:M243" si="18">M212-J213</f>
        <v>59525.807462658202</v>
      </c>
    </row>
    <row r="214" spans="7:13" ht="15" thickBot="1" x14ac:dyDescent="0.35">
      <c r="G214" s="6">
        <v>211</v>
      </c>
      <c r="H214" s="7">
        <f t="shared" si="15"/>
        <v>2314.738696384929</v>
      </c>
      <c r="I214" s="7">
        <f t="shared" si="16"/>
        <v>384.37743874942322</v>
      </c>
      <c r="J214" s="7">
        <f t="shared" si="17"/>
        <v>1746.5412576355059</v>
      </c>
      <c r="K214" s="7"/>
      <c r="L214" s="13">
        <v>183.82</v>
      </c>
      <c r="M214" s="15">
        <f t="shared" si="18"/>
        <v>57779.266205022694</v>
      </c>
    </row>
    <row r="215" spans="7:13" ht="15" thickBot="1" x14ac:dyDescent="0.35">
      <c r="G215" s="6">
        <v>212</v>
      </c>
      <c r="H215" s="7">
        <f t="shared" si="15"/>
        <v>2314.738696384929</v>
      </c>
      <c r="I215" s="7">
        <f t="shared" si="16"/>
        <v>373.09945557042522</v>
      </c>
      <c r="J215" s="7">
        <f t="shared" si="17"/>
        <v>1757.8192408145039</v>
      </c>
      <c r="K215" s="7"/>
      <c r="L215" s="13">
        <v>183.82</v>
      </c>
      <c r="M215" s="15">
        <f t="shared" si="18"/>
        <v>56021.446964208189</v>
      </c>
    </row>
    <row r="216" spans="7:13" ht="15" thickBot="1" x14ac:dyDescent="0.35">
      <c r="G216" s="6">
        <v>213</v>
      </c>
      <c r="H216" s="7">
        <f t="shared" si="15"/>
        <v>2314.738696384929</v>
      </c>
      <c r="I216" s="7">
        <f t="shared" si="16"/>
        <v>361.74864679739693</v>
      </c>
      <c r="J216" s="7">
        <f t="shared" si="17"/>
        <v>1769.170049587532</v>
      </c>
      <c r="K216" s="7"/>
      <c r="L216" s="13">
        <v>183.82</v>
      </c>
      <c r="M216" s="15">
        <f t="shared" si="18"/>
        <v>54252.276914620656</v>
      </c>
    </row>
    <row r="217" spans="7:13" ht="15" thickBot="1" x14ac:dyDescent="0.35">
      <c r="G217" s="6">
        <v>214</v>
      </c>
      <c r="H217" s="7">
        <f t="shared" si="15"/>
        <v>2314.738696384929</v>
      </c>
      <c r="I217" s="7">
        <f t="shared" si="16"/>
        <v>350.32454217186546</v>
      </c>
      <c r="J217" s="7">
        <f t="shared" si="17"/>
        <v>1780.5941542130636</v>
      </c>
      <c r="K217" s="7"/>
      <c r="L217" s="13">
        <v>183.82</v>
      </c>
      <c r="M217" s="15">
        <f t="shared" si="18"/>
        <v>52471.682760407595</v>
      </c>
    </row>
    <row r="218" spans="7:13" ht="15" thickBot="1" x14ac:dyDescent="0.35">
      <c r="G218" s="6">
        <v>215</v>
      </c>
      <c r="H218" s="7">
        <f t="shared" si="15"/>
        <v>2314.738696384929</v>
      </c>
      <c r="I218" s="7">
        <f t="shared" si="16"/>
        <v>338.82666839874679</v>
      </c>
      <c r="J218" s="7">
        <f t="shared" si="17"/>
        <v>1792.0920279861823</v>
      </c>
      <c r="K218" s="7"/>
      <c r="L218" s="13">
        <v>183.82</v>
      </c>
      <c r="M218" s="15">
        <f t="shared" si="18"/>
        <v>50679.590732421413</v>
      </c>
    </row>
    <row r="219" spans="7:13" ht="15" thickBot="1" x14ac:dyDescent="0.35">
      <c r="G219" s="6">
        <v>216</v>
      </c>
      <c r="H219" s="7">
        <f t="shared" si="15"/>
        <v>2314.738696384929</v>
      </c>
      <c r="I219" s="7">
        <f t="shared" si="16"/>
        <v>327.25454912673672</v>
      </c>
      <c r="J219" s="7">
        <f t="shared" si="17"/>
        <v>1803.6641472581923</v>
      </c>
      <c r="K219" s="7"/>
      <c r="L219" s="13">
        <v>183.82</v>
      </c>
      <c r="M219" s="15">
        <f t="shared" si="18"/>
        <v>48875.926585163223</v>
      </c>
    </row>
    <row r="220" spans="7:13" ht="15" thickBot="1" x14ac:dyDescent="0.35">
      <c r="G220" s="6">
        <v>217</v>
      </c>
      <c r="H220" s="7">
        <f t="shared" si="15"/>
        <v>2314.738696384929</v>
      </c>
      <c r="I220" s="7">
        <f t="shared" si="16"/>
        <v>315.60770492857642</v>
      </c>
      <c r="J220" s="7">
        <f t="shared" si="17"/>
        <v>1815.3109914563527</v>
      </c>
      <c r="K220" s="7"/>
      <c r="L220" s="13">
        <v>183.82</v>
      </c>
      <c r="M220" s="15">
        <f t="shared" si="18"/>
        <v>47060.615593706869</v>
      </c>
    </row>
    <row r="221" spans="7:13" ht="15" thickBot="1" x14ac:dyDescent="0.35">
      <c r="G221" s="6">
        <v>218</v>
      </c>
      <c r="H221" s="7">
        <f t="shared" si="15"/>
        <v>2314.738696384929</v>
      </c>
      <c r="I221" s="7">
        <f t="shared" si="16"/>
        <v>303.88565328118983</v>
      </c>
      <c r="J221" s="7">
        <f t="shared" si="17"/>
        <v>1827.0330431037391</v>
      </c>
      <c r="K221" s="7"/>
      <c r="L221" s="13">
        <v>183.82</v>
      </c>
      <c r="M221" s="15">
        <f t="shared" si="18"/>
        <v>45233.582550603132</v>
      </c>
    </row>
    <row r="222" spans="7:13" ht="15" thickBot="1" x14ac:dyDescent="0.35">
      <c r="G222" s="6">
        <v>219</v>
      </c>
      <c r="H222" s="7">
        <f t="shared" si="15"/>
        <v>2314.738696384929</v>
      </c>
      <c r="I222" s="7">
        <f t="shared" si="16"/>
        <v>292.08790854569293</v>
      </c>
      <c r="J222" s="7">
        <f t="shared" si="17"/>
        <v>1838.8307878392361</v>
      </c>
      <c r="K222" s="7"/>
      <c r="L222" s="13">
        <v>183.82</v>
      </c>
      <c r="M222" s="15">
        <f t="shared" si="18"/>
        <v>43394.751762763895</v>
      </c>
    </row>
    <row r="223" spans="7:13" ht="15" thickBot="1" x14ac:dyDescent="0.35">
      <c r="G223" s="6">
        <v>220</v>
      </c>
      <c r="H223" s="7">
        <f t="shared" si="15"/>
        <v>2314.738696384929</v>
      </c>
      <c r="I223" s="7">
        <f t="shared" si="16"/>
        <v>280.21398194727385</v>
      </c>
      <c r="J223" s="7">
        <f t="shared" si="17"/>
        <v>1850.7047144376552</v>
      </c>
      <c r="K223" s="7"/>
      <c r="L223" s="13">
        <v>183.82</v>
      </c>
      <c r="M223" s="15">
        <f t="shared" si="18"/>
        <v>41544.04704832624</v>
      </c>
    </row>
    <row r="224" spans="7:13" ht="15" thickBot="1" x14ac:dyDescent="0.35">
      <c r="G224" s="6">
        <v>221</v>
      </c>
      <c r="H224" s="7">
        <f t="shared" si="15"/>
        <v>2314.738696384929</v>
      </c>
      <c r="I224" s="7">
        <f t="shared" si="16"/>
        <v>268.26338155494341</v>
      </c>
      <c r="J224" s="7">
        <f t="shared" si="17"/>
        <v>1862.6553148299856</v>
      </c>
      <c r="K224" s="7"/>
      <c r="L224" s="13">
        <v>183.82</v>
      </c>
      <c r="M224" s="15">
        <f t="shared" si="18"/>
        <v>39681.391733496253</v>
      </c>
    </row>
    <row r="225" spans="7:13" ht="15" thickBot="1" x14ac:dyDescent="0.35">
      <c r="G225" s="6">
        <v>222</v>
      </c>
      <c r="H225" s="7">
        <f t="shared" si="15"/>
        <v>2314.738696384929</v>
      </c>
      <c r="I225" s="7">
        <f t="shared" si="16"/>
        <v>256.23561226115453</v>
      </c>
      <c r="J225" s="7">
        <f t="shared" si="17"/>
        <v>1874.6830841237745</v>
      </c>
      <c r="K225" s="7"/>
      <c r="L225" s="13">
        <v>183.82</v>
      </c>
      <c r="M225" s="15">
        <f t="shared" si="18"/>
        <v>37806.708649372478</v>
      </c>
    </row>
    <row r="226" spans="7:13" ht="15" thickBot="1" x14ac:dyDescent="0.35">
      <c r="G226" s="6">
        <v>223</v>
      </c>
      <c r="H226" s="7">
        <f t="shared" si="15"/>
        <v>2314.738696384929</v>
      </c>
      <c r="I226" s="7">
        <f t="shared" si="16"/>
        <v>244.13017576129008</v>
      </c>
      <c r="J226" s="7">
        <f t="shared" si="17"/>
        <v>1886.788520623639</v>
      </c>
      <c r="K226" s="7"/>
      <c r="L226" s="13">
        <v>183.82</v>
      </c>
      <c r="M226" s="15">
        <f t="shared" si="18"/>
        <v>35919.920128748839</v>
      </c>
    </row>
    <row r="227" spans="7:13" ht="15" thickBot="1" x14ac:dyDescent="0.35">
      <c r="G227" s="6">
        <v>224</v>
      </c>
      <c r="H227" s="7">
        <f t="shared" si="15"/>
        <v>2314.738696384929</v>
      </c>
      <c r="I227" s="7">
        <f t="shared" si="16"/>
        <v>231.94657053301853</v>
      </c>
      <c r="J227" s="7">
        <f t="shared" si="17"/>
        <v>1898.9721258519105</v>
      </c>
      <c r="K227" s="7"/>
      <c r="L227" s="13">
        <v>183.82</v>
      </c>
      <c r="M227" s="15">
        <f t="shared" si="18"/>
        <v>34020.948002896926</v>
      </c>
    </row>
    <row r="228" spans="7:13" ht="15" thickBot="1" x14ac:dyDescent="0.35">
      <c r="G228" s="6">
        <v>225</v>
      </c>
      <c r="H228" s="7">
        <f t="shared" si="15"/>
        <v>2314.738696384929</v>
      </c>
      <c r="I228" s="7">
        <f t="shared" si="16"/>
        <v>219.68429181551602</v>
      </c>
      <c r="J228" s="7">
        <f t="shared" si="17"/>
        <v>1911.2344045694128</v>
      </c>
      <c r="K228" s="7"/>
      <c r="L228" s="13">
        <v>183.82</v>
      </c>
      <c r="M228" s="15">
        <f t="shared" si="18"/>
        <v>32109.713598327515</v>
      </c>
    </row>
    <row r="229" spans="7:13" ht="15" thickBot="1" x14ac:dyDescent="0.35">
      <c r="G229" s="6">
        <v>226</v>
      </c>
      <c r="H229" s="7">
        <f t="shared" si="15"/>
        <v>2314.738696384929</v>
      </c>
      <c r="I229" s="7">
        <f t="shared" si="16"/>
        <v>207.34283158855445</v>
      </c>
      <c r="J229" s="7">
        <f t="shared" si="17"/>
        <v>1923.5758647963746</v>
      </c>
      <c r="K229" s="7"/>
      <c r="L229" s="13">
        <v>183.82</v>
      </c>
      <c r="M229" s="15">
        <f t="shared" si="18"/>
        <v>30186.137733531141</v>
      </c>
    </row>
    <row r="230" spans="7:13" ht="15" thickBot="1" x14ac:dyDescent="0.35">
      <c r="G230" s="6">
        <v>227</v>
      </c>
      <c r="H230" s="7">
        <f t="shared" si="15"/>
        <v>2314.738696384929</v>
      </c>
      <c r="I230" s="7">
        <f t="shared" si="16"/>
        <v>194.92167855145425</v>
      </c>
      <c r="J230" s="7">
        <f t="shared" si="17"/>
        <v>1935.997017833475</v>
      </c>
      <c r="K230" s="7"/>
      <c r="L230" s="13">
        <v>183.82</v>
      </c>
      <c r="M230" s="15">
        <f t="shared" si="18"/>
        <v>28250.140715697667</v>
      </c>
    </row>
    <row r="231" spans="7:13" ht="15" thickBot="1" x14ac:dyDescent="0.35">
      <c r="G231" s="6">
        <v>228</v>
      </c>
      <c r="H231" s="7">
        <f t="shared" si="15"/>
        <v>2314.738696384929</v>
      </c>
      <c r="I231" s="7">
        <f t="shared" si="16"/>
        <v>182.42031810190176</v>
      </c>
      <c r="J231" s="7">
        <f t="shared" si="17"/>
        <v>1948.4983782830275</v>
      </c>
      <c r="K231" s="7"/>
      <c r="L231" s="13">
        <v>183.82</v>
      </c>
      <c r="M231" s="15">
        <f t="shared" si="18"/>
        <v>26301.64233741464</v>
      </c>
    </row>
    <row r="232" spans="7:13" ht="15" thickBot="1" x14ac:dyDescent="0.35">
      <c r="G232" s="6">
        <v>229</v>
      </c>
      <c r="H232" s="7">
        <f t="shared" si="15"/>
        <v>2314.738696384929</v>
      </c>
      <c r="I232" s="7">
        <f t="shared" si="16"/>
        <v>169.83823231462921</v>
      </c>
      <c r="J232" s="7">
        <f t="shared" si="17"/>
        <v>1961.0804640702997</v>
      </c>
      <c r="K232" s="7"/>
      <c r="L232" s="13">
        <v>183.82</v>
      </c>
      <c r="M232" s="15">
        <f t="shared" si="18"/>
        <v>24340.561873344341</v>
      </c>
    </row>
    <row r="233" spans="7:13" ht="15" thickBot="1" x14ac:dyDescent="0.35">
      <c r="G233" s="6">
        <v>230</v>
      </c>
      <c r="H233" s="7">
        <f t="shared" si="15"/>
        <v>2314.738696384929</v>
      </c>
      <c r="I233" s="7">
        <f t="shared" si="16"/>
        <v>157.17489991995748</v>
      </c>
      <c r="J233" s="7">
        <f t="shared" si="17"/>
        <v>1973.7437964649714</v>
      </c>
      <c r="K233" s="7"/>
      <c r="L233" s="13">
        <v>183.82</v>
      </c>
      <c r="M233" s="15">
        <f t="shared" si="18"/>
        <v>22366.818076879368</v>
      </c>
    </row>
    <row r="234" spans="7:13" ht="15" thickBot="1" x14ac:dyDescent="0.35">
      <c r="G234" s="6">
        <v>231</v>
      </c>
      <c r="H234" s="7">
        <f t="shared" si="15"/>
        <v>2314.738696384929</v>
      </c>
      <c r="I234" s="7">
        <f t="shared" si="16"/>
        <v>144.4297962822001</v>
      </c>
      <c r="J234" s="7">
        <f t="shared" si="17"/>
        <v>1986.4889001027288</v>
      </c>
      <c r="K234" s="7"/>
      <c r="L234" s="13">
        <v>183.82</v>
      </c>
      <c r="M234" s="15">
        <f t="shared" si="18"/>
        <v>20380.329176776639</v>
      </c>
    </row>
    <row r="235" spans="7:13" ht="15" thickBot="1" x14ac:dyDescent="0.35">
      <c r="G235" s="6">
        <v>232</v>
      </c>
      <c r="H235" s="7">
        <f t="shared" si="15"/>
        <v>2314.738696384929</v>
      </c>
      <c r="I235" s="7">
        <f t="shared" si="16"/>
        <v>131.60239337792797</v>
      </c>
      <c r="J235" s="7">
        <f t="shared" si="17"/>
        <v>1999.3163030070011</v>
      </c>
      <c r="K235" s="7"/>
      <c r="L235" s="13">
        <v>183.82</v>
      </c>
      <c r="M235" s="15">
        <f t="shared" si="18"/>
        <v>18381.012873769636</v>
      </c>
    </row>
    <row r="236" spans="7:13" ht="15" thickBot="1" x14ac:dyDescent="0.35">
      <c r="G236" s="6">
        <v>233</v>
      </c>
      <c r="H236" s="7">
        <f t="shared" si="15"/>
        <v>2314.738696384929</v>
      </c>
      <c r="I236" s="7">
        <f t="shared" si="16"/>
        <v>118.69215977409338</v>
      </c>
      <c r="J236" s="7">
        <f t="shared" si="17"/>
        <v>2012.2265366108356</v>
      </c>
      <c r="K236" s="7"/>
      <c r="L236" s="13">
        <v>183.82</v>
      </c>
      <c r="M236" s="15">
        <f t="shared" si="18"/>
        <v>16368.786337158801</v>
      </c>
    </row>
    <row r="237" spans="7:13" ht="15" thickBot="1" x14ac:dyDescent="0.35">
      <c r="G237" s="6">
        <v>234</v>
      </c>
      <c r="H237" s="7">
        <f t="shared" si="15"/>
        <v>2314.738696384929</v>
      </c>
      <c r="I237" s="7">
        <f t="shared" si="16"/>
        <v>105.69856060601323</v>
      </c>
      <c r="J237" s="7">
        <f t="shared" si="17"/>
        <v>2025.2201357789156</v>
      </c>
      <c r="K237" s="7"/>
      <c r="L237" s="13">
        <v>183.82</v>
      </c>
      <c r="M237" s="15">
        <f t="shared" si="18"/>
        <v>14343.566201379885</v>
      </c>
    </row>
    <row r="238" spans="7:13" ht="15" thickBot="1" x14ac:dyDescent="0.35">
      <c r="G238" s="6">
        <v>235</v>
      </c>
      <c r="H238" s="7">
        <f t="shared" si="15"/>
        <v>2314.738696384929</v>
      </c>
      <c r="I238" s="7">
        <f t="shared" si="16"/>
        <v>92.62105755520966</v>
      </c>
      <c r="J238" s="7">
        <f t="shared" si="17"/>
        <v>2038.2976388297195</v>
      </c>
      <c r="K238" s="7"/>
      <c r="L238" s="13">
        <v>183.82</v>
      </c>
      <c r="M238" s="15">
        <f t="shared" si="18"/>
        <v>12305.268562550165</v>
      </c>
    </row>
    <row r="239" spans="7:13" ht="15" thickBot="1" x14ac:dyDescent="0.35">
      <c r="G239" s="6">
        <v>236</v>
      </c>
      <c r="H239" s="7">
        <f t="shared" si="15"/>
        <v>2314.738696384929</v>
      </c>
      <c r="I239" s="7">
        <f t="shared" si="16"/>
        <v>79.459108827107897</v>
      </c>
      <c r="J239" s="7">
        <f t="shared" si="17"/>
        <v>2051.4595875578211</v>
      </c>
      <c r="K239" s="7"/>
      <c r="L239" s="13">
        <v>183.82</v>
      </c>
      <c r="M239" s="15">
        <f t="shared" si="18"/>
        <v>10253.808974992344</v>
      </c>
    </row>
    <row r="240" spans="7:13" ht="15" thickBot="1" x14ac:dyDescent="0.35">
      <c r="G240" s="6">
        <v>237</v>
      </c>
      <c r="H240" s="7">
        <f t="shared" si="15"/>
        <v>2314.738696384929</v>
      </c>
      <c r="I240" s="7">
        <f t="shared" si="16"/>
        <v>66.212169128589935</v>
      </c>
      <c r="J240" s="7">
        <f t="shared" si="17"/>
        <v>2064.7065272563391</v>
      </c>
      <c r="K240" s="7"/>
      <c r="L240" s="13">
        <v>183.82</v>
      </c>
      <c r="M240" s="15">
        <f t="shared" si="18"/>
        <v>8189.1024477360043</v>
      </c>
    </row>
    <row r="241" spans="7:13" ht="15" thickBot="1" x14ac:dyDescent="0.35">
      <c r="G241" s="6">
        <v>238</v>
      </c>
      <c r="H241" s="7">
        <f t="shared" si="15"/>
        <v>2314.738696384929</v>
      </c>
      <c r="I241" s="7">
        <f t="shared" si="16"/>
        <v>52.879689645403303</v>
      </c>
      <c r="J241" s="7">
        <f t="shared" si="17"/>
        <v>2078.0390067395256</v>
      </c>
      <c r="K241" s="7"/>
      <c r="L241" s="13">
        <v>183.82</v>
      </c>
      <c r="M241" s="15">
        <f t="shared" si="18"/>
        <v>6111.0634409964787</v>
      </c>
    </row>
    <row r="242" spans="7:13" ht="15" thickBot="1" x14ac:dyDescent="0.35">
      <c r="G242" s="6">
        <v>239</v>
      </c>
      <c r="H242" s="7">
        <f t="shared" si="15"/>
        <v>2314.738696384929</v>
      </c>
      <c r="I242" s="7">
        <f t="shared" si="16"/>
        <v>39.461118019423971</v>
      </c>
      <c r="J242" s="7">
        <f t="shared" si="17"/>
        <v>2091.457578365505</v>
      </c>
      <c r="K242" s="7"/>
      <c r="L242" s="13">
        <v>183.82</v>
      </c>
      <c r="M242" s="15">
        <f t="shared" si="18"/>
        <v>4019.6058626309737</v>
      </c>
    </row>
    <row r="243" spans="7:13" ht="15" thickBot="1" x14ac:dyDescent="0.35">
      <c r="G243" s="6">
        <v>240</v>
      </c>
      <c r="H243" s="7">
        <f t="shared" si="15"/>
        <v>2314.738696384929</v>
      </c>
      <c r="I243" s="7">
        <f t="shared" si="16"/>
        <v>25.955898325772388</v>
      </c>
      <c r="J243" s="7">
        <f t="shared" si="17"/>
        <v>2104.9627980591563</v>
      </c>
      <c r="K243" s="7"/>
      <c r="L243" s="13">
        <v>183.82</v>
      </c>
      <c r="M243" s="16">
        <f t="shared" si="18"/>
        <v>1914.6430645718174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Cred Personal</vt:lpstr>
      <vt:lpstr>Simulacion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Amaranto Gonzalez, Juan Carlos</cp:lastModifiedBy>
  <dcterms:created xsi:type="dcterms:W3CDTF">2026-03-16T18:16:26Z</dcterms:created>
  <dcterms:modified xsi:type="dcterms:W3CDTF">2026-05-19T21:34:01Z</dcterms:modified>
</cp:coreProperties>
</file>